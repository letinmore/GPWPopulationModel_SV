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canenguez.DICSASA2\Desktop\"/>
    </mc:Choice>
  </mc:AlternateContent>
  <xr:revisionPtr revIDLastSave="0" documentId="13_ncr:1_{12A53BBF-CA4B-4AAA-A315-4AA8758BDFA4}" xr6:coauthVersionLast="36" xr6:coauthVersionMax="47" xr10:uidLastSave="{00000000-0000-0000-0000-000000000000}"/>
  <bookViews>
    <workbookView xWindow="-108" yWindow="-108" windowWidth="19416" windowHeight="10416" firstSheet="5" activeTab="8" xr2:uid="{00000000-000D-0000-FFFF-FFFF00000000}"/>
  </bookViews>
  <sheets>
    <sheet name="Chart20" sheetId="23" r:id="rId1"/>
    <sheet name="Chart21" sheetId="24" r:id="rId2"/>
    <sheet name="Chart1" sheetId="25" r:id="rId3"/>
    <sheet name="Chart2" sheetId="26" r:id="rId4"/>
    <sheet name="Chart3" sheetId="27" r:id="rId5"/>
    <sheet name="Gráfico1" sheetId="38" r:id="rId6"/>
    <sheet name="Gráfico2" sheetId="39" r:id="rId7"/>
    <sheet name="Gráfico3" sheetId="40" r:id="rId8"/>
    <sheet name="Gráfico4" sheetId="41" r:id="rId9"/>
    <sheet name="Sheet1" sheetId="1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1" l="1" a="1"/>
  <c r="T2" i="1" s="1"/>
  <c r="T5" i="1" a="1"/>
  <c r="T5" i="1" s="1"/>
  <c r="D36" i="1"/>
  <c r="E36" i="1"/>
  <c r="F36" i="1"/>
  <c r="C36" i="1"/>
  <c r="O6" i="1"/>
  <c r="S6" i="1" s="1"/>
  <c r="O7" i="1"/>
  <c r="S7" i="1" s="1"/>
  <c r="O8" i="1"/>
  <c r="S8" i="1" s="1"/>
  <c r="O9" i="1"/>
  <c r="S9" i="1" s="1"/>
  <c r="O10" i="1"/>
  <c r="S10" i="1" s="1"/>
  <c r="O11" i="1"/>
  <c r="S11" i="1" s="1"/>
  <c r="O12" i="1"/>
  <c r="S12" i="1" s="1"/>
  <c r="O13" i="1"/>
  <c r="S13" i="1" s="1"/>
  <c r="O14" i="1"/>
  <c r="S14" i="1" s="1"/>
  <c r="O15" i="1"/>
  <c r="S15" i="1" s="1"/>
  <c r="O16" i="1"/>
  <c r="S16" i="1" s="1"/>
  <c r="O17" i="1"/>
  <c r="S17" i="1" s="1"/>
  <c r="O18" i="1"/>
  <c r="S18" i="1" s="1"/>
  <c r="O19" i="1"/>
  <c r="S19" i="1" s="1"/>
  <c r="O20" i="1"/>
  <c r="S20" i="1" s="1"/>
  <c r="O21" i="1"/>
  <c r="S21" i="1" s="1"/>
  <c r="O22" i="1"/>
  <c r="S22" i="1" s="1"/>
  <c r="O23" i="1"/>
  <c r="S23" i="1" s="1"/>
  <c r="O24" i="1"/>
  <c r="S24" i="1" s="1"/>
  <c r="O25" i="1"/>
  <c r="S25" i="1" s="1"/>
  <c r="O26" i="1"/>
  <c r="S26" i="1" s="1"/>
  <c r="O27" i="1"/>
  <c r="S27" i="1" s="1"/>
  <c r="O28" i="1"/>
  <c r="S28" i="1" s="1"/>
  <c r="O29" i="1"/>
  <c r="S29" i="1" s="1"/>
  <c r="O30" i="1"/>
  <c r="S30" i="1" s="1"/>
  <c r="O31" i="1"/>
  <c r="S31" i="1" s="1"/>
  <c r="O32" i="1"/>
  <c r="S32" i="1" s="1"/>
  <c r="O33" i="1"/>
  <c r="S33" i="1" s="1"/>
  <c r="O34" i="1"/>
  <c r="S34" i="1" s="1"/>
  <c r="O35" i="1"/>
  <c r="S35" i="1" s="1"/>
  <c r="N6" i="1"/>
  <c r="R6" i="1" s="1"/>
  <c r="N7" i="1"/>
  <c r="R7" i="1" s="1"/>
  <c r="N8" i="1"/>
  <c r="R8" i="1" s="1"/>
  <c r="N9" i="1"/>
  <c r="R9" i="1" s="1"/>
  <c r="N10" i="1"/>
  <c r="R10" i="1" s="1"/>
  <c r="N11" i="1"/>
  <c r="R11" i="1" s="1"/>
  <c r="N12" i="1"/>
  <c r="R12" i="1" s="1"/>
  <c r="N13" i="1"/>
  <c r="R13" i="1" s="1"/>
  <c r="N14" i="1"/>
  <c r="R14" i="1" s="1"/>
  <c r="N15" i="1"/>
  <c r="R15" i="1" s="1"/>
  <c r="N16" i="1"/>
  <c r="R16" i="1" s="1"/>
  <c r="N17" i="1"/>
  <c r="R17" i="1" s="1"/>
  <c r="N18" i="1"/>
  <c r="R18" i="1" s="1"/>
  <c r="N19" i="1"/>
  <c r="R19" i="1" s="1"/>
  <c r="N20" i="1"/>
  <c r="R20" i="1" s="1"/>
  <c r="N21" i="1"/>
  <c r="R21" i="1" s="1"/>
  <c r="N22" i="1"/>
  <c r="R22" i="1" s="1"/>
  <c r="N23" i="1"/>
  <c r="R23" i="1" s="1"/>
  <c r="N24" i="1"/>
  <c r="R24" i="1" s="1"/>
  <c r="N25" i="1"/>
  <c r="R25" i="1" s="1"/>
  <c r="N26" i="1"/>
  <c r="R26" i="1" s="1"/>
  <c r="N27" i="1"/>
  <c r="R27" i="1" s="1"/>
  <c r="N28" i="1"/>
  <c r="R28" i="1" s="1"/>
  <c r="N29" i="1"/>
  <c r="R29" i="1" s="1"/>
  <c r="N30" i="1"/>
  <c r="R30" i="1" s="1"/>
  <c r="N31" i="1"/>
  <c r="R31" i="1" s="1"/>
  <c r="N32" i="1"/>
  <c r="R32" i="1" s="1"/>
  <c r="N33" i="1"/>
  <c r="R33" i="1" s="1"/>
  <c r="N34" i="1"/>
  <c r="R34" i="1" s="1"/>
  <c r="N35" i="1"/>
  <c r="R35" i="1" s="1"/>
  <c r="M6" i="1"/>
  <c r="Q6" i="1" s="1"/>
  <c r="M7" i="1"/>
  <c r="Q7" i="1" s="1"/>
  <c r="M8" i="1"/>
  <c r="Q8" i="1" s="1"/>
  <c r="M9" i="1"/>
  <c r="Q9" i="1" s="1"/>
  <c r="M10" i="1"/>
  <c r="Q10" i="1" s="1"/>
  <c r="M11" i="1"/>
  <c r="Q11" i="1" s="1"/>
  <c r="M12" i="1"/>
  <c r="Q12" i="1" s="1"/>
  <c r="M13" i="1"/>
  <c r="Q13" i="1" s="1"/>
  <c r="M14" i="1"/>
  <c r="Q14" i="1" s="1"/>
  <c r="M15" i="1"/>
  <c r="Q15" i="1" s="1"/>
  <c r="M16" i="1"/>
  <c r="Q16" i="1" s="1"/>
  <c r="M17" i="1"/>
  <c r="Q17" i="1" s="1"/>
  <c r="M18" i="1"/>
  <c r="Q18" i="1" s="1"/>
  <c r="M19" i="1"/>
  <c r="Q19" i="1" s="1"/>
  <c r="M20" i="1"/>
  <c r="Q20" i="1" s="1"/>
  <c r="M21" i="1"/>
  <c r="Q21" i="1" s="1"/>
  <c r="M22" i="1"/>
  <c r="Q22" i="1" s="1"/>
  <c r="M23" i="1"/>
  <c r="Q23" i="1" s="1"/>
  <c r="M24" i="1"/>
  <c r="Q24" i="1" s="1"/>
  <c r="M25" i="1"/>
  <c r="Q25" i="1" s="1"/>
  <c r="M26" i="1"/>
  <c r="Q26" i="1" s="1"/>
  <c r="M27" i="1"/>
  <c r="Q27" i="1" s="1"/>
  <c r="M28" i="1"/>
  <c r="Q28" i="1" s="1"/>
  <c r="M29" i="1"/>
  <c r="Q29" i="1" s="1"/>
  <c r="M30" i="1"/>
  <c r="Q30" i="1" s="1"/>
  <c r="M31" i="1"/>
  <c r="Q31" i="1" s="1"/>
  <c r="M32" i="1"/>
  <c r="Q32" i="1" s="1"/>
  <c r="M33" i="1"/>
  <c r="Q33" i="1" s="1"/>
  <c r="M34" i="1"/>
  <c r="Q34" i="1" s="1"/>
  <c r="M35" i="1"/>
  <c r="Q35" i="1" s="1"/>
  <c r="N5" i="1"/>
  <c r="R5" i="1" s="1"/>
  <c r="O5" i="1"/>
  <c r="S5" i="1" s="1"/>
  <c r="M5" i="1"/>
  <c r="Q5" i="1" s="1"/>
  <c r="L6" i="1"/>
  <c r="P6" i="1" s="1"/>
  <c r="L7" i="1"/>
  <c r="P7" i="1" s="1"/>
  <c r="L8" i="1"/>
  <c r="P8" i="1" s="1"/>
  <c r="L9" i="1"/>
  <c r="P9" i="1" s="1"/>
  <c r="L10" i="1"/>
  <c r="P10" i="1" s="1"/>
  <c r="L11" i="1"/>
  <c r="P11" i="1" s="1"/>
  <c r="L12" i="1"/>
  <c r="P12" i="1" s="1"/>
  <c r="L13" i="1"/>
  <c r="P13" i="1" s="1"/>
  <c r="L14" i="1"/>
  <c r="P14" i="1" s="1"/>
  <c r="L15" i="1"/>
  <c r="P15" i="1" s="1"/>
  <c r="L16" i="1"/>
  <c r="P16" i="1" s="1"/>
  <c r="L17" i="1"/>
  <c r="P17" i="1" s="1"/>
  <c r="L18" i="1"/>
  <c r="P18" i="1" s="1"/>
  <c r="L19" i="1"/>
  <c r="P19" i="1" s="1"/>
  <c r="L20" i="1"/>
  <c r="P20" i="1" s="1"/>
  <c r="L21" i="1"/>
  <c r="P21" i="1" s="1"/>
  <c r="L22" i="1"/>
  <c r="P22" i="1" s="1"/>
  <c r="L23" i="1"/>
  <c r="P23" i="1" s="1"/>
  <c r="L24" i="1"/>
  <c r="P24" i="1" s="1"/>
  <c r="L25" i="1"/>
  <c r="P25" i="1" s="1"/>
  <c r="L26" i="1"/>
  <c r="P26" i="1" s="1"/>
  <c r="L27" i="1"/>
  <c r="P27" i="1" s="1"/>
  <c r="L28" i="1"/>
  <c r="P28" i="1" s="1"/>
  <c r="L29" i="1"/>
  <c r="P29" i="1" s="1"/>
  <c r="L30" i="1"/>
  <c r="P30" i="1" s="1"/>
  <c r="L31" i="1"/>
  <c r="P31" i="1" s="1"/>
  <c r="L32" i="1"/>
  <c r="P32" i="1" s="1"/>
  <c r="L33" i="1"/>
  <c r="P33" i="1" s="1"/>
  <c r="L34" i="1"/>
  <c r="P34" i="1" s="1"/>
  <c r="L35" i="1"/>
  <c r="P35" i="1" s="1"/>
  <c r="L5" i="1"/>
  <c r="P5" i="1" s="1"/>
  <c r="S36" i="1" l="1"/>
  <c r="R36" i="1"/>
  <c r="Q36" i="1"/>
  <c r="P36" i="1"/>
  <c r="P37" i="1" s="1"/>
  <c r="E37" i="1"/>
  <c r="F37" i="1"/>
  <c r="D37" i="1"/>
  <c r="U9" i="1"/>
  <c r="T9" i="1"/>
  <c r="U8" i="1"/>
  <c r="T8" i="1"/>
  <c r="U7" i="1"/>
  <c r="T7" i="1"/>
  <c r="U6" i="1"/>
  <c r="T6" i="1"/>
  <c r="U5" i="1"/>
  <c r="C37" i="1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<sst xmlns="http://schemas.openxmlformats.org/spreadsheetml/2006/main" count="105" uniqueCount="66">
  <si>
    <t>Censo real</t>
  </si>
  <si>
    <t>Municipio</t>
  </si>
  <si>
    <t>Proyeccion GWP</t>
  </si>
  <si>
    <t>Aguascalientes</t>
  </si>
  <si>
    <t>Estado</t>
  </si>
  <si>
    <t>Nayarit</t>
  </si>
  <si>
    <t>Tepic</t>
  </si>
  <si>
    <t>Guadalajara</t>
  </si>
  <si>
    <t>Jalisco</t>
  </si>
  <si>
    <t>Mexicali</t>
  </si>
  <si>
    <t>Baja California</t>
  </si>
  <si>
    <t>Baja California Sur</t>
  </si>
  <si>
    <t>La Paz</t>
  </si>
  <si>
    <t>Campeche</t>
  </si>
  <si>
    <t>Tuxtla Gutierrez</t>
  </si>
  <si>
    <t>Chiapas</t>
  </si>
  <si>
    <t>Chihuahua</t>
  </si>
  <si>
    <t>Saltillo</t>
  </si>
  <si>
    <t>Coahuila de Zaragoza</t>
  </si>
  <si>
    <t>Colima</t>
  </si>
  <si>
    <t>Durango</t>
  </si>
  <si>
    <t>Guanajuato</t>
  </si>
  <si>
    <t>Chilpancingo de Bravo</t>
  </si>
  <si>
    <t>Guerrero</t>
  </si>
  <si>
    <t>Pachuca de Soto</t>
  </si>
  <si>
    <t>Hidalgo</t>
  </si>
  <si>
    <t>Morelia</t>
  </si>
  <si>
    <t>Michoacan de Ocampo</t>
  </si>
  <si>
    <t>Monterrey</t>
  </si>
  <si>
    <t>Nuevo Leon</t>
  </si>
  <si>
    <t>Oaxaca de Juarez</t>
  </si>
  <si>
    <t>Oaxaca</t>
  </si>
  <si>
    <t>Puebla de Zaragoza</t>
  </si>
  <si>
    <t>Puebla</t>
  </si>
  <si>
    <t>Santiago de Queretaro</t>
  </si>
  <si>
    <t>Queretaro</t>
  </si>
  <si>
    <t>Quintana Roo</t>
  </si>
  <si>
    <t>San Luis Potosi</t>
  </si>
  <si>
    <t>Culiacan Rosales</t>
  </si>
  <si>
    <t>Sinaloa</t>
  </si>
  <si>
    <t>Hermosillo</t>
  </si>
  <si>
    <t>Sonora</t>
  </si>
  <si>
    <t>Tabasco</t>
  </si>
  <si>
    <t>Tamaulipas</t>
  </si>
  <si>
    <t>Tlaxcala de Xicohténcatl</t>
  </si>
  <si>
    <t>Tlaxcala</t>
  </si>
  <si>
    <t>Xalapa-Enriquez</t>
  </si>
  <si>
    <t>Veracruz de Ignacio de la Llave</t>
  </si>
  <si>
    <t>Merida</t>
  </si>
  <si>
    <t>Yucatan</t>
  </si>
  <si>
    <t>Zacatecas</t>
  </si>
  <si>
    <t>Estado de Mexico</t>
  </si>
  <si>
    <t>Toluca de Lerdo</t>
  </si>
  <si>
    <t>Cuernavaca</t>
  </si>
  <si>
    <t>Morelos</t>
  </si>
  <si>
    <t>Cozumel</t>
  </si>
  <si>
    <t>Jalapa</t>
  </si>
  <si>
    <t>Matamoros</t>
  </si>
  <si>
    <t>Diferencia de cifras (proyeccion - real)</t>
  </si>
  <si>
    <t>Porcentaje de diferencia (en base al censo real)</t>
  </si>
  <si>
    <t>Promedios</t>
  </si>
  <si>
    <t>Promedio total</t>
  </si>
  <si>
    <t>TOTALES</t>
  </si>
  <si>
    <t>POBLACION EQUIVALENTE A PORCENTAJE</t>
  </si>
  <si>
    <t>Placeholder</t>
  </si>
  <si>
    <t>Linea de tendencia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</si>
</sst>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1" xfId="0" applyBorder="1" applyAlignment="1">
      <alignment horizontal="left"/>
    </xf>
    <xf numFmtId="3" fontId="0" fillId="3" borderId="1" xfId="0" quotePrefix="1" applyNumberFormat="1" applyFill="1" applyBorder="1"/>
    <xf numFmtId="3" fontId="0" fillId="2" borderId="1" xfId="0" applyNumberFormat="1" applyFill="1" applyBorder="1"/>
    <xf numFmtId="0" fontId="0" fillId="0" borderId="2" xfId="0" applyBorder="1"/>
    <xf numFmtId="3" fontId="0" fillId="3" borderId="2" xfId="0" quotePrefix="1" applyNumberFormat="1" applyFill="1" applyBorder="1"/>
    <xf numFmtId="3" fontId="1" fillId="3" borderId="2" xfId="0" applyNumberFormat="1" applyFont="1" applyFill="1" applyBorder="1"/>
    <xf numFmtId="3" fontId="0" fillId="2" borderId="2" xfId="0" applyNumberFormat="1" applyFill="1" applyBorder="1"/>
    <xf numFmtId="3" fontId="2" fillId="3" borderId="2" xfId="0" applyNumberFormat="1" applyFont="1" applyFill="1" applyBorder="1"/>
    <xf numFmtId="3" fontId="0" fillId="3" borderId="2" xfId="0" applyNumberFormat="1" applyFill="1" applyBorder="1"/>
    <xf numFmtId="0" fontId="0" fillId="0" borderId="3" xfId="0" applyBorder="1"/>
    <xf numFmtId="3" fontId="0" fillId="3" borderId="3" xfId="0" quotePrefix="1" applyNumberFormat="1" applyFill="1" applyBorder="1"/>
    <xf numFmtId="3" fontId="0" fillId="3" borderId="3" xfId="0" applyNumberFormat="1" applyFill="1" applyBorder="1"/>
    <xf numFmtId="3" fontId="0" fillId="2" borderId="3" xfId="0" applyNumberFormat="1" applyFill="1" applyBorder="1"/>
    <xf numFmtId="0" fontId="3" fillId="4" borderId="0" xfId="0" applyFont="1" applyFill="1"/>
    <xf numFmtId="3" fontId="0" fillId="0" borderId="0" xfId="0" applyNumberFormat="1"/>
    <xf numFmtId="4" fontId="0" fillId="0" borderId="0" xfId="0" applyNumberFormat="1" applyFill="1" applyBorder="1"/>
    <xf numFmtId="0" fontId="0" fillId="5" borderId="0" xfId="0" applyFill="1"/>
    <xf numFmtId="3" fontId="0" fillId="7" borderId="0" xfId="0" applyNumberFormat="1" applyFill="1"/>
    <xf numFmtId="4" fontId="0" fillId="6" borderId="0" xfId="0" applyNumberFormat="1" applyFill="1" applyBorder="1"/>
    <xf numFmtId="0" fontId="0" fillId="0" borderId="2" xfId="0" applyFill="1" applyBorder="1"/>
    <xf numFmtId="0" fontId="0" fillId="5" borderId="2" xfId="0" applyFill="1" applyBorder="1"/>
    <xf numFmtId="0" fontId="3" fillId="0" borderId="0" xfId="0" applyFont="1"/>
    <xf numFmtId="3" fontId="4" fillId="0" borderId="0" xfId="0" applyNumberFormat="1" applyFont="1"/>
    <xf numFmtId="4" fontId="0" fillId="8" borderId="0" xfId="0" applyNumberFormat="1" applyFill="1"/>
    <xf numFmtId="0" fontId="3" fillId="4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8.xml"/><Relationship Id="rId13" Type="http://schemas.openxmlformats.org/officeDocument/2006/relationships/sharedStrings" Target="sharedStrings.xml"/><Relationship Id="rId3" Type="http://schemas.openxmlformats.org/officeDocument/2006/relationships/chartsheet" Target="chartsheets/sheet3.xml"/><Relationship Id="rId7" Type="http://schemas.openxmlformats.org/officeDocument/2006/relationships/chartsheet" Target="chartsheets/sheet7.xml"/><Relationship Id="rId12" Type="http://schemas.openxmlformats.org/officeDocument/2006/relationships/styles" Target="styles.xml"/><Relationship Id="rId2" Type="http://schemas.openxmlformats.org/officeDocument/2006/relationships/chartsheet" Target="chartsheets/sheet2.xml"/><Relationship Id="rId16" Type="http://schemas.microsoft.com/office/2006/relationships/vbaProject" Target="vbaProject.bin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6.xml"/><Relationship Id="rId11" Type="http://schemas.openxmlformats.org/officeDocument/2006/relationships/theme" Target="theme/theme1.xml"/><Relationship Id="rId5" Type="http://schemas.openxmlformats.org/officeDocument/2006/relationships/chartsheet" Target="chart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.xml"/><Relationship Id="rId4" Type="http://schemas.openxmlformats.org/officeDocument/2006/relationships/chartsheet" Target="chartsheets/sheet4.xml"/><Relationship Id="rId9" Type="http://schemas.openxmlformats.org/officeDocument/2006/relationships/chartsheet" Target="chartsheets/sheet9.xml"/><Relationship Id="rId14" Type="http://schemas.openxmlformats.org/officeDocument/2006/relationships/sheetMetadata" Target="metadata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Cuernavaca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Cuernavaca</c:v>
          </c:tx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strRef>
              <c:f>Sheet1!$A$5:$A$35</c:f>
              <c:strCache>
                <c:ptCount val="31"/>
                <c:pt idx="0">
                  <c:v>Aguascalientes</c:v>
                </c:pt>
                <c:pt idx="1">
                  <c:v>Tepic</c:v>
                </c:pt>
                <c:pt idx="2">
                  <c:v>Guadalajara</c:v>
                </c:pt>
                <c:pt idx="3">
                  <c:v>Mexicali</c:v>
                </c:pt>
                <c:pt idx="4">
                  <c:v>La Paz</c:v>
                </c:pt>
                <c:pt idx="5">
                  <c:v>Campeche</c:v>
                </c:pt>
                <c:pt idx="6">
                  <c:v>Tuxtla Gutierrez</c:v>
                </c:pt>
                <c:pt idx="7">
                  <c:v>Chihuahua</c:v>
                </c:pt>
                <c:pt idx="8">
                  <c:v>Saltillo</c:v>
                </c:pt>
                <c:pt idx="9">
                  <c:v>Colima</c:v>
                </c:pt>
                <c:pt idx="10">
                  <c:v>Durango</c:v>
                </c:pt>
                <c:pt idx="11">
                  <c:v>Toluca de Lerdo</c:v>
                </c:pt>
                <c:pt idx="12">
                  <c:v>Guanajuato</c:v>
                </c:pt>
                <c:pt idx="13">
                  <c:v>Chilpancingo de Bravo</c:v>
                </c:pt>
                <c:pt idx="14">
                  <c:v>Pachuca de Soto</c:v>
                </c:pt>
                <c:pt idx="15">
                  <c:v>Morelia</c:v>
                </c:pt>
                <c:pt idx="16">
                  <c:v>Cuernavaca</c:v>
                </c:pt>
                <c:pt idx="17">
                  <c:v>Monterrey</c:v>
                </c:pt>
                <c:pt idx="18">
                  <c:v>Oaxaca de Juarez</c:v>
                </c:pt>
                <c:pt idx="19">
                  <c:v>Puebla de Zaragoza</c:v>
                </c:pt>
                <c:pt idx="20">
                  <c:v>Santiago de Queretaro</c:v>
                </c:pt>
                <c:pt idx="21">
                  <c:v>Cozumel</c:v>
                </c:pt>
                <c:pt idx="22">
                  <c:v>San Luis Potosi</c:v>
                </c:pt>
                <c:pt idx="23">
                  <c:v>Culiacan Rosales</c:v>
                </c:pt>
                <c:pt idx="24">
                  <c:v>Hermosillo</c:v>
                </c:pt>
                <c:pt idx="25">
                  <c:v>Jalapa</c:v>
                </c:pt>
                <c:pt idx="26">
                  <c:v>Matamoros</c:v>
                </c:pt>
                <c:pt idx="27">
                  <c:v>Tlaxcala de Xicohténcatl</c:v>
                </c:pt>
                <c:pt idx="28">
                  <c:v>Xalapa-Enriquez</c:v>
                </c:pt>
                <c:pt idx="29">
                  <c:v>Merida</c:v>
                </c:pt>
                <c:pt idx="30">
                  <c:v>Zacatecas</c:v>
                </c:pt>
              </c:strCache>
            </c:strRef>
          </c:xVal>
          <c:yVal>
            <c:numRef>
              <c:f>Sheet1!$F$5:$F$35</c:f>
              <c:numCache>
                <c:formatCode>#,##0</c:formatCode>
                <c:ptCount val="31"/>
                <c:pt idx="0">
                  <c:v>948990</c:v>
                </c:pt>
                <c:pt idx="1">
                  <c:v>425924</c:v>
                </c:pt>
                <c:pt idx="2">
                  <c:v>1385629</c:v>
                </c:pt>
                <c:pt idx="3">
                  <c:v>1049792</c:v>
                </c:pt>
                <c:pt idx="4">
                  <c:v>292241</c:v>
                </c:pt>
                <c:pt idx="5">
                  <c:v>294077</c:v>
                </c:pt>
                <c:pt idx="6">
                  <c:v>604147</c:v>
                </c:pt>
                <c:pt idx="7">
                  <c:v>937674</c:v>
                </c:pt>
                <c:pt idx="8">
                  <c:v>879958</c:v>
                </c:pt>
                <c:pt idx="9">
                  <c:v>157048</c:v>
                </c:pt>
                <c:pt idx="10">
                  <c:v>688697</c:v>
                </c:pt>
                <c:pt idx="11">
                  <c:v>910608</c:v>
                </c:pt>
                <c:pt idx="12">
                  <c:v>194500</c:v>
                </c:pt>
                <c:pt idx="13">
                  <c:v>283354</c:v>
                </c:pt>
                <c:pt idx="14">
                  <c:v>314331</c:v>
                </c:pt>
                <c:pt idx="15">
                  <c:v>849053</c:v>
                </c:pt>
                <c:pt idx="16">
                  <c:v>378476</c:v>
                </c:pt>
                <c:pt idx="17">
                  <c:v>1142994</c:v>
                </c:pt>
                <c:pt idx="18">
                  <c:v>270955</c:v>
                </c:pt>
                <c:pt idx="19">
                  <c:v>1692181</c:v>
                </c:pt>
                <c:pt idx="20">
                  <c:v>1049777</c:v>
                </c:pt>
                <c:pt idx="21">
                  <c:v>88626</c:v>
                </c:pt>
                <c:pt idx="22">
                  <c:v>911908</c:v>
                </c:pt>
                <c:pt idx="23">
                  <c:v>1003530</c:v>
                </c:pt>
                <c:pt idx="24">
                  <c:v>936263</c:v>
                </c:pt>
                <c:pt idx="25">
                  <c:v>37749</c:v>
                </c:pt>
                <c:pt idx="26">
                  <c:v>541979</c:v>
                </c:pt>
                <c:pt idx="27">
                  <c:v>99896</c:v>
                </c:pt>
                <c:pt idx="28">
                  <c:v>488531</c:v>
                </c:pt>
                <c:pt idx="29">
                  <c:v>995129</c:v>
                </c:pt>
                <c:pt idx="30">
                  <c:v>149607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61C-48B8-888F-A0023E5DE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584232"/>
        <c:axId val="544588496"/>
      </c:scatterChart>
      <c:valAx>
        <c:axId val="5445842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Censo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4588496"/>
        <c:crosses val="autoZero"/>
        <c:crossBetween val="midCat"/>
      </c:valAx>
      <c:valAx>
        <c:axId val="5445884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Estimación GWP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44584232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Cuernavaca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Cuernavaca</c:v>
          </c:tx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Sheet1!$C$21:$F$21</c:f>
              <c:numCache>
                <c:formatCode>#,##0</c:formatCode>
                <c:ptCount val="4"/>
                <c:pt idx="0">
                  <c:v>338706</c:v>
                </c:pt>
                <c:pt idx="1">
                  <c:v>349102</c:v>
                </c:pt>
                <c:pt idx="2">
                  <c:v>365168</c:v>
                </c:pt>
                <c:pt idx="3">
                  <c:v>378476</c:v>
                </c:pt>
              </c:numCache>
            </c:numRef>
          </c:xVal>
          <c:yVal>
            <c:numRef>
              <c:f>Sheet1!$H$21:$K$21</c:f>
              <c:numCache>
                <c:formatCode>#,##0</c:formatCode>
                <c:ptCount val="4"/>
                <c:pt idx="0">
                  <c:v>358790</c:v>
                </c:pt>
                <c:pt idx="1">
                  <c:v>371025</c:v>
                </c:pt>
                <c:pt idx="2">
                  <c:v>385582</c:v>
                </c:pt>
                <c:pt idx="3">
                  <c:v>383499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06D-4BCF-9F61-1B4B5BE70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850040"/>
        <c:axId val="427859224"/>
      </c:scatterChart>
      <c:valAx>
        <c:axId val="4278500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Censo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427859224"/>
        <c:crosses val="autoZero"/>
        <c:crossBetween val="midCat"/>
      </c:valAx>
      <c:valAx>
        <c:axId val="4278592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Estimación GWP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42785004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2005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2005</c:v>
          </c:tx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Sheet1!$D$5:$D$35</c:f>
              <c:numCache>
                <c:formatCode>#,##0</c:formatCode>
                <c:ptCount val="31"/>
                <c:pt idx="0">
                  <c:v>723043</c:v>
                </c:pt>
                <c:pt idx="1">
                  <c:v>336403</c:v>
                </c:pt>
                <c:pt idx="2">
                  <c:v>1600940</c:v>
                </c:pt>
                <c:pt idx="3">
                  <c:v>855962</c:v>
                </c:pt>
                <c:pt idx="4">
                  <c:v>219596</c:v>
                </c:pt>
                <c:pt idx="5">
                  <c:v>238850</c:v>
                </c:pt>
                <c:pt idx="6">
                  <c:v>503320</c:v>
                </c:pt>
                <c:pt idx="7">
                  <c:v>758791</c:v>
                </c:pt>
                <c:pt idx="8">
                  <c:v>648929</c:v>
                </c:pt>
                <c:pt idx="9">
                  <c:v>132273</c:v>
                </c:pt>
                <c:pt idx="10">
                  <c:v>526659</c:v>
                </c:pt>
                <c:pt idx="11">
                  <c:v>747512</c:v>
                </c:pt>
                <c:pt idx="12">
                  <c:v>153364</c:v>
                </c:pt>
                <c:pt idx="13">
                  <c:v>214219</c:v>
                </c:pt>
                <c:pt idx="14">
                  <c:v>275578</c:v>
                </c:pt>
                <c:pt idx="15">
                  <c:v>684145</c:v>
                </c:pt>
                <c:pt idx="16">
                  <c:v>349102</c:v>
                </c:pt>
                <c:pt idx="17">
                  <c:v>1133814</c:v>
                </c:pt>
                <c:pt idx="18">
                  <c:v>265006</c:v>
                </c:pt>
                <c:pt idx="19">
                  <c:v>1485941</c:v>
                </c:pt>
                <c:pt idx="20">
                  <c:v>734139</c:v>
                </c:pt>
                <c:pt idx="21">
                  <c:v>73193</c:v>
                </c:pt>
                <c:pt idx="22">
                  <c:v>730950</c:v>
                </c:pt>
                <c:pt idx="23">
                  <c:v>793730</c:v>
                </c:pt>
                <c:pt idx="24">
                  <c:v>701838</c:v>
                </c:pt>
                <c:pt idx="25">
                  <c:v>33596</c:v>
                </c:pt>
                <c:pt idx="26">
                  <c:v>462157</c:v>
                </c:pt>
                <c:pt idx="27">
                  <c:v>83748</c:v>
                </c:pt>
                <c:pt idx="28">
                  <c:v>413136</c:v>
                </c:pt>
                <c:pt idx="29">
                  <c:v>781146</c:v>
                </c:pt>
                <c:pt idx="30">
                  <c:v>132035</c:v>
                </c:pt>
              </c:numCache>
            </c:numRef>
          </c:xVal>
          <c:yVal>
            <c:numRef>
              <c:f>Sheet1!$I$5:$I$35</c:f>
              <c:numCache>
                <c:formatCode>#,##0</c:formatCode>
                <c:ptCount val="31"/>
                <c:pt idx="0">
                  <c:v>768442</c:v>
                </c:pt>
                <c:pt idx="1">
                  <c:v>357524</c:v>
                </c:pt>
                <c:pt idx="2">
                  <c:v>1701478</c:v>
                </c:pt>
                <c:pt idx="3">
                  <c:v>909718</c:v>
                </c:pt>
                <c:pt idx="4">
                  <c:v>233384</c:v>
                </c:pt>
                <c:pt idx="5">
                  <c:v>253852</c:v>
                </c:pt>
                <c:pt idx="6">
                  <c:v>534932</c:v>
                </c:pt>
                <c:pt idx="7">
                  <c:v>806463</c:v>
                </c:pt>
                <c:pt idx="8">
                  <c:v>689683</c:v>
                </c:pt>
                <c:pt idx="9">
                  <c:v>140581</c:v>
                </c:pt>
                <c:pt idx="10">
                  <c:v>559737</c:v>
                </c:pt>
                <c:pt idx="11">
                  <c:v>794455</c:v>
                </c:pt>
                <c:pt idx="12">
                  <c:v>162996</c:v>
                </c:pt>
                <c:pt idx="13">
                  <c:v>227662</c:v>
                </c:pt>
                <c:pt idx="14">
                  <c:v>292880</c:v>
                </c:pt>
                <c:pt idx="15">
                  <c:v>727108</c:v>
                </c:pt>
                <c:pt idx="16">
                  <c:v>371025</c:v>
                </c:pt>
                <c:pt idx="17">
                  <c:v>1205004</c:v>
                </c:pt>
                <c:pt idx="18">
                  <c:v>281645</c:v>
                </c:pt>
                <c:pt idx="19">
                  <c:v>1579258</c:v>
                </c:pt>
                <c:pt idx="20">
                  <c:v>780238</c:v>
                </c:pt>
                <c:pt idx="21">
                  <c:v>77791</c:v>
                </c:pt>
                <c:pt idx="22">
                  <c:v>776850</c:v>
                </c:pt>
                <c:pt idx="23">
                  <c:v>843588</c:v>
                </c:pt>
                <c:pt idx="24">
                  <c:v>745939</c:v>
                </c:pt>
                <c:pt idx="25">
                  <c:v>35705</c:v>
                </c:pt>
                <c:pt idx="26">
                  <c:v>601716</c:v>
                </c:pt>
                <c:pt idx="27">
                  <c:v>89007</c:v>
                </c:pt>
                <c:pt idx="28">
                  <c:v>439074</c:v>
                </c:pt>
                <c:pt idx="29">
                  <c:v>830197</c:v>
                </c:pt>
                <c:pt idx="30">
                  <c:v>140324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C13-4A7B-9895-2C4432FD9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858440"/>
        <c:axId val="424859424"/>
      </c:scatterChart>
      <c:valAx>
        <c:axId val="4248584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Censo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424859424"/>
        <c:crosses val="autoZero"/>
        <c:crossBetween val="midCat"/>
      </c:valAx>
      <c:valAx>
        <c:axId val="4248594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Estimación GWP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42485844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Cozumel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Cozumel</c:v>
          </c:tx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Sheet1!$C$26:$F$26</c:f>
              <c:numCache>
                <c:formatCode>#,##0</c:formatCode>
                <c:ptCount val="4"/>
                <c:pt idx="0">
                  <c:v>60091</c:v>
                </c:pt>
                <c:pt idx="1">
                  <c:v>73193</c:v>
                </c:pt>
                <c:pt idx="2">
                  <c:v>79535</c:v>
                </c:pt>
                <c:pt idx="3">
                  <c:v>88626</c:v>
                </c:pt>
              </c:numCache>
            </c:numRef>
          </c:xVal>
          <c:yVal>
            <c:numRef>
              <c:f>Sheet1!$H$26:$K$26</c:f>
              <c:numCache>
                <c:formatCode>#,##0</c:formatCode>
                <c:ptCount val="4"/>
                <c:pt idx="0">
                  <c:v>72412</c:v>
                </c:pt>
                <c:pt idx="1">
                  <c:v>77791</c:v>
                </c:pt>
                <c:pt idx="2">
                  <c:v>83980</c:v>
                </c:pt>
                <c:pt idx="3">
                  <c:v>90141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F6-4F0C-94F5-446695736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078280"/>
        <c:axId val="420123864"/>
      </c:scatterChart>
      <c:valAx>
        <c:axId val="4240782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Censo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420123864"/>
        <c:crosses val="autoZero"/>
        <c:crossBetween val="midCat"/>
      </c:valAx>
      <c:valAx>
        <c:axId val="4201238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Estimación GWP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42407828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2000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2000</c:v>
          </c:tx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Sheet1!$C$5:$C$35</c:f>
              <c:numCache>
                <c:formatCode>#,##0</c:formatCode>
                <c:ptCount val="31"/>
                <c:pt idx="0">
                  <c:v>643419</c:v>
                </c:pt>
                <c:pt idx="1">
                  <c:v>305176</c:v>
                </c:pt>
                <c:pt idx="2">
                  <c:v>1646319</c:v>
                </c:pt>
                <c:pt idx="3">
                  <c:v>764602</c:v>
                </c:pt>
                <c:pt idx="4">
                  <c:v>196907</c:v>
                </c:pt>
                <c:pt idx="5">
                  <c:v>216897</c:v>
                </c:pt>
                <c:pt idx="6">
                  <c:v>434143</c:v>
                </c:pt>
                <c:pt idx="7">
                  <c:v>671790</c:v>
                </c:pt>
                <c:pt idx="8">
                  <c:v>578046</c:v>
                </c:pt>
                <c:pt idx="9">
                  <c:v>129958</c:v>
                </c:pt>
                <c:pt idx="10">
                  <c:v>491436</c:v>
                </c:pt>
                <c:pt idx="11">
                  <c:v>666596</c:v>
                </c:pt>
                <c:pt idx="12">
                  <c:v>141196</c:v>
                </c:pt>
                <c:pt idx="13">
                  <c:v>192947</c:v>
                </c:pt>
                <c:pt idx="14">
                  <c:v>245208</c:v>
                </c:pt>
                <c:pt idx="15">
                  <c:v>620532</c:v>
                </c:pt>
                <c:pt idx="16">
                  <c:v>338706</c:v>
                </c:pt>
                <c:pt idx="17">
                  <c:v>1110997</c:v>
                </c:pt>
                <c:pt idx="18">
                  <c:v>256130</c:v>
                </c:pt>
                <c:pt idx="19">
                  <c:v>1346916</c:v>
                </c:pt>
                <c:pt idx="20">
                  <c:v>641386</c:v>
                </c:pt>
                <c:pt idx="21">
                  <c:v>60091</c:v>
                </c:pt>
                <c:pt idx="22">
                  <c:v>670532</c:v>
                </c:pt>
                <c:pt idx="23">
                  <c:v>745537</c:v>
                </c:pt>
                <c:pt idx="24">
                  <c:v>609829</c:v>
                </c:pt>
                <c:pt idx="25">
                  <c:v>32840</c:v>
                </c:pt>
                <c:pt idx="26">
                  <c:v>418141</c:v>
                </c:pt>
                <c:pt idx="27">
                  <c:v>73230</c:v>
                </c:pt>
                <c:pt idx="28">
                  <c:v>390590</c:v>
                </c:pt>
                <c:pt idx="29">
                  <c:v>705055</c:v>
                </c:pt>
                <c:pt idx="30">
                  <c:v>123899</c:v>
                </c:pt>
              </c:numCache>
            </c:numRef>
          </c:xVal>
          <c:yVal>
            <c:numRef>
              <c:f>Sheet1!$H$5:$H$35</c:f>
              <c:numCache>
                <c:formatCode>#,##0</c:formatCode>
                <c:ptCount val="31"/>
                <c:pt idx="0">
                  <c:v>705163</c:v>
                </c:pt>
                <c:pt idx="1">
                  <c:v>319944</c:v>
                </c:pt>
                <c:pt idx="2">
                  <c:v>1842803</c:v>
                </c:pt>
                <c:pt idx="3">
                  <c:v>840761</c:v>
                </c:pt>
                <c:pt idx="4">
                  <c:v>205823</c:v>
                </c:pt>
                <c:pt idx="5">
                  <c:v>236793</c:v>
                </c:pt>
                <c:pt idx="6">
                  <c:v>492147</c:v>
                </c:pt>
                <c:pt idx="7">
                  <c:v>755274</c:v>
                </c:pt>
                <c:pt idx="8">
                  <c:v>624315</c:v>
                </c:pt>
                <c:pt idx="9">
                  <c:v>128030</c:v>
                </c:pt>
                <c:pt idx="10">
                  <c:v>512124</c:v>
                </c:pt>
                <c:pt idx="11">
                  <c:v>732963</c:v>
                </c:pt>
                <c:pt idx="12">
                  <c:v>147255</c:v>
                </c:pt>
                <c:pt idx="13">
                  <c:v>204091</c:v>
                </c:pt>
                <c:pt idx="14">
                  <c:v>304789</c:v>
                </c:pt>
                <c:pt idx="15">
                  <c:v>689960</c:v>
                </c:pt>
                <c:pt idx="16">
                  <c:v>358790</c:v>
                </c:pt>
                <c:pt idx="17">
                  <c:v>1217028</c:v>
                </c:pt>
                <c:pt idx="18">
                  <c:v>286679</c:v>
                </c:pt>
                <c:pt idx="19">
                  <c:v>1541539</c:v>
                </c:pt>
                <c:pt idx="20">
                  <c:v>722495</c:v>
                </c:pt>
                <c:pt idx="21">
                  <c:v>72412</c:v>
                </c:pt>
                <c:pt idx="22">
                  <c:v>743429</c:v>
                </c:pt>
                <c:pt idx="23">
                  <c:v>788787</c:v>
                </c:pt>
                <c:pt idx="24">
                  <c:v>675145</c:v>
                </c:pt>
                <c:pt idx="25">
                  <c:v>33342</c:v>
                </c:pt>
                <c:pt idx="26">
                  <c:v>573536</c:v>
                </c:pt>
                <c:pt idx="27">
                  <c:v>83969</c:v>
                </c:pt>
                <c:pt idx="28">
                  <c:v>400693</c:v>
                </c:pt>
                <c:pt idx="29">
                  <c:v>789635</c:v>
                </c:pt>
                <c:pt idx="30">
                  <c:v>135638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C07-46E9-BFC5-78ACB9DD4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964400"/>
        <c:axId val="323965056"/>
      </c:scatterChart>
      <c:valAx>
        <c:axId val="3239644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Censo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23965056"/>
        <c:crosses val="autoZero"/>
        <c:crossBetween val="midCat"/>
      </c:valAx>
      <c:valAx>
        <c:axId val="3239650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Estimación GWP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2396440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2000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2000</c:v>
          </c:tx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Sheet1!$C$5:$C$35</c:f>
              <c:numCache>
                <c:formatCode>#,##0</c:formatCode>
                <c:ptCount val="31"/>
                <c:pt idx="0">
                  <c:v>643419</c:v>
                </c:pt>
                <c:pt idx="1">
                  <c:v>305176</c:v>
                </c:pt>
                <c:pt idx="2">
                  <c:v>1646319</c:v>
                </c:pt>
                <c:pt idx="3">
                  <c:v>764602</c:v>
                </c:pt>
                <c:pt idx="4">
                  <c:v>196907</c:v>
                </c:pt>
                <c:pt idx="5">
                  <c:v>216897</c:v>
                </c:pt>
                <c:pt idx="6">
                  <c:v>434143</c:v>
                </c:pt>
                <c:pt idx="7">
                  <c:v>671790</c:v>
                </c:pt>
                <c:pt idx="8">
                  <c:v>578046</c:v>
                </c:pt>
                <c:pt idx="9">
                  <c:v>129958</c:v>
                </c:pt>
                <c:pt idx="10">
                  <c:v>491436</c:v>
                </c:pt>
                <c:pt idx="11">
                  <c:v>666596</c:v>
                </c:pt>
                <c:pt idx="12">
                  <c:v>141196</c:v>
                </c:pt>
                <c:pt idx="13">
                  <c:v>192947</c:v>
                </c:pt>
                <c:pt idx="14">
                  <c:v>245208</c:v>
                </c:pt>
                <c:pt idx="15">
                  <c:v>620532</c:v>
                </c:pt>
                <c:pt idx="16">
                  <c:v>338706</c:v>
                </c:pt>
                <c:pt idx="17">
                  <c:v>1110997</c:v>
                </c:pt>
                <c:pt idx="18">
                  <c:v>256130</c:v>
                </c:pt>
                <c:pt idx="19">
                  <c:v>1346916</c:v>
                </c:pt>
                <c:pt idx="20">
                  <c:v>641386</c:v>
                </c:pt>
                <c:pt idx="21">
                  <c:v>60091</c:v>
                </c:pt>
                <c:pt idx="22">
                  <c:v>670532</c:v>
                </c:pt>
                <c:pt idx="23">
                  <c:v>745537</c:v>
                </c:pt>
                <c:pt idx="24">
                  <c:v>609829</c:v>
                </c:pt>
                <c:pt idx="25">
                  <c:v>32840</c:v>
                </c:pt>
                <c:pt idx="26">
                  <c:v>418141</c:v>
                </c:pt>
                <c:pt idx="27">
                  <c:v>73230</c:v>
                </c:pt>
                <c:pt idx="28">
                  <c:v>390590</c:v>
                </c:pt>
                <c:pt idx="29">
                  <c:v>705055</c:v>
                </c:pt>
                <c:pt idx="30">
                  <c:v>123899</c:v>
                </c:pt>
              </c:numCache>
            </c:numRef>
          </c:xVal>
          <c:yVal>
            <c:numRef>
              <c:f>Sheet1!$H$5:$H$35</c:f>
              <c:numCache>
                <c:formatCode>#,##0</c:formatCode>
                <c:ptCount val="31"/>
                <c:pt idx="0">
                  <c:v>705163</c:v>
                </c:pt>
                <c:pt idx="1">
                  <c:v>319944</c:v>
                </c:pt>
                <c:pt idx="2">
                  <c:v>1842803</c:v>
                </c:pt>
                <c:pt idx="3">
                  <c:v>840761</c:v>
                </c:pt>
                <c:pt idx="4">
                  <c:v>205823</c:v>
                </c:pt>
                <c:pt idx="5">
                  <c:v>236793</c:v>
                </c:pt>
                <c:pt idx="6">
                  <c:v>492147</c:v>
                </c:pt>
                <c:pt idx="7">
                  <c:v>755274</c:v>
                </c:pt>
                <c:pt idx="8">
                  <c:v>624315</c:v>
                </c:pt>
                <c:pt idx="9">
                  <c:v>128030</c:v>
                </c:pt>
                <c:pt idx="10">
                  <c:v>512124</c:v>
                </c:pt>
                <c:pt idx="11">
                  <c:v>732963</c:v>
                </c:pt>
                <c:pt idx="12">
                  <c:v>147255</c:v>
                </c:pt>
                <c:pt idx="13">
                  <c:v>204091</c:v>
                </c:pt>
                <c:pt idx="14">
                  <c:v>304789</c:v>
                </c:pt>
                <c:pt idx="15">
                  <c:v>689960</c:v>
                </c:pt>
                <c:pt idx="16">
                  <c:v>358790</c:v>
                </c:pt>
                <c:pt idx="17">
                  <c:v>1217028</c:v>
                </c:pt>
                <c:pt idx="18">
                  <c:v>286679</c:v>
                </c:pt>
                <c:pt idx="19">
                  <c:v>1541539</c:v>
                </c:pt>
                <c:pt idx="20">
                  <c:v>722495</c:v>
                </c:pt>
                <c:pt idx="21">
                  <c:v>72412</c:v>
                </c:pt>
                <c:pt idx="22">
                  <c:v>743429</c:v>
                </c:pt>
                <c:pt idx="23">
                  <c:v>788787</c:v>
                </c:pt>
                <c:pt idx="24">
                  <c:v>675145</c:v>
                </c:pt>
                <c:pt idx="25">
                  <c:v>33342</c:v>
                </c:pt>
                <c:pt idx="26">
                  <c:v>573536</c:v>
                </c:pt>
                <c:pt idx="27">
                  <c:v>83969</c:v>
                </c:pt>
                <c:pt idx="28">
                  <c:v>400693</c:v>
                </c:pt>
                <c:pt idx="29">
                  <c:v>789635</c:v>
                </c:pt>
                <c:pt idx="30">
                  <c:v>135638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0B-4B79-99C5-C36059ECF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076320"/>
        <c:axId val="396122456"/>
      </c:scatterChart>
      <c:valAx>
        <c:axId val="3270763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Censo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96122456"/>
        <c:crosses val="autoZero"/>
        <c:crossBetween val="midCat"/>
      </c:valAx>
      <c:valAx>
        <c:axId val="3961224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Estimación GWP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2707632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2005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2005</c:v>
          </c:tx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Sheet1!$D$5:$D$35</c:f>
              <c:numCache>
                <c:formatCode>#,##0</c:formatCode>
                <c:ptCount val="31"/>
                <c:pt idx="0">
                  <c:v>723043</c:v>
                </c:pt>
                <c:pt idx="1">
                  <c:v>336403</c:v>
                </c:pt>
                <c:pt idx="2">
                  <c:v>1600940</c:v>
                </c:pt>
                <c:pt idx="3">
                  <c:v>855962</c:v>
                </c:pt>
                <c:pt idx="4">
                  <c:v>219596</c:v>
                </c:pt>
                <c:pt idx="5">
                  <c:v>238850</c:v>
                </c:pt>
                <c:pt idx="6">
                  <c:v>503320</c:v>
                </c:pt>
                <c:pt idx="7">
                  <c:v>758791</c:v>
                </c:pt>
                <c:pt idx="8">
                  <c:v>648929</c:v>
                </c:pt>
                <c:pt idx="9">
                  <c:v>132273</c:v>
                </c:pt>
                <c:pt idx="10">
                  <c:v>526659</c:v>
                </c:pt>
                <c:pt idx="11">
                  <c:v>747512</c:v>
                </c:pt>
                <c:pt idx="12">
                  <c:v>153364</c:v>
                </c:pt>
                <c:pt idx="13">
                  <c:v>214219</c:v>
                </c:pt>
                <c:pt idx="14">
                  <c:v>275578</c:v>
                </c:pt>
                <c:pt idx="15">
                  <c:v>684145</c:v>
                </c:pt>
                <c:pt idx="16">
                  <c:v>349102</c:v>
                </c:pt>
                <c:pt idx="17">
                  <c:v>1133814</c:v>
                </c:pt>
                <c:pt idx="18">
                  <c:v>265006</c:v>
                </c:pt>
                <c:pt idx="19">
                  <c:v>1485941</c:v>
                </c:pt>
                <c:pt idx="20">
                  <c:v>734139</c:v>
                </c:pt>
                <c:pt idx="21">
                  <c:v>73193</c:v>
                </c:pt>
                <c:pt idx="22">
                  <c:v>730950</c:v>
                </c:pt>
                <c:pt idx="23">
                  <c:v>793730</c:v>
                </c:pt>
                <c:pt idx="24">
                  <c:v>701838</c:v>
                </c:pt>
                <c:pt idx="25">
                  <c:v>33596</c:v>
                </c:pt>
                <c:pt idx="26">
                  <c:v>462157</c:v>
                </c:pt>
                <c:pt idx="27">
                  <c:v>83748</c:v>
                </c:pt>
                <c:pt idx="28">
                  <c:v>413136</c:v>
                </c:pt>
                <c:pt idx="29">
                  <c:v>781146</c:v>
                </c:pt>
                <c:pt idx="30">
                  <c:v>132035</c:v>
                </c:pt>
              </c:numCache>
            </c:numRef>
          </c:xVal>
          <c:yVal>
            <c:numRef>
              <c:f>Sheet1!$I$5:$I$35</c:f>
              <c:numCache>
                <c:formatCode>#,##0</c:formatCode>
                <c:ptCount val="31"/>
                <c:pt idx="0">
                  <c:v>768442</c:v>
                </c:pt>
                <c:pt idx="1">
                  <c:v>357524</c:v>
                </c:pt>
                <c:pt idx="2">
                  <c:v>1701478</c:v>
                </c:pt>
                <c:pt idx="3">
                  <c:v>909718</c:v>
                </c:pt>
                <c:pt idx="4">
                  <c:v>233384</c:v>
                </c:pt>
                <c:pt idx="5">
                  <c:v>253852</c:v>
                </c:pt>
                <c:pt idx="6">
                  <c:v>534932</c:v>
                </c:pt>
                <c:pt idx="7">
                  <c:v>806463</c:v>
                </c:pt>
                <c:pt idx="8">
                  <c:v>689683</c:v>
                </c:pt>
                <c:pt idx="9">
                  <c:v>140581</c:v>
                </c:pt>
                <c:pt idx="10">
                  <c:v>559737</c:v>
                </c:pt>
                <c:pt idx="11">
                  <c:v>794455</c:v>
                </c:pt>
                <c:pt idx="12">
                  <c:v>162996</c:v>
                </c:pt>
                <c:pt idx="13">
                  <c:v>227662</c:v>
                </c:pt>
                <c:pt idx="14">
                  <c:v>292880</c:v>
                </c:pt>
                <c:pt idx="15">
                  <c:v>727108</c:v>
                </c:pt>
                <c:pt idx="16">
                  <c:v>371025</c:v>
                </c:pt>
                <c:pt idx="17">
                  <c:v>1205004</c:v>
                </c:pt>
                <c:pt idx="18">
                  <c:v>281645</c:v>
                </c:pt>
                <c:pt idx="19">
                  <c:v>1579258</c:v>
                </c:pt>
                <c:pt idx="20">
                  <c:v>780238</c:v>
                </c:pt>
                <c:pt idx="21">
                  <c:v>77791</c:v>
                </c:pt>
                <c:pt idx="22">
                  <c:v>776850</c:v>
                </c:pt>
                <c:pt idx="23">
                  <c:v>843588</c:v>
                </c:pt>
                <c:pt idx="24">
                  <c:v>745939</c:v>
                </c:pt>
                <c:pt idx="25">
                  <c:v>35705</c:v>
                </c:pt>
                <c:pt idx="26">
                  <c:v>601716</c:v>
                </c:pt>
                <c:pt idx="27">
                  <c:v>89007</c:v>
                </c:pt>
                <c:pt idx="28">
                  <c:v>439074</c:v>
                </c:pt>
                <c:pt idx="29">
                  <c:v>830197</c:v>
                </c:pt>
                <c:pt idx="30">
                  <c:v>140324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40-4FA8-8E7B-E307569D0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935736"/>
        <c:axId val="397937048"/>
      </c:scatterChart>
      <c:valAx>
        <c:axId val="3979357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Censo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97937048"/>
        <c:crosses val="autoZero"/>
        <c:crossBetween val="midCat"/>
      </c:valAx>
      <c:valAx>
        <c:axId val="3979370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Estimación GWP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97935736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2010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2010</c:v>
          </c:tx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Sheet1!$E$5:$E$35</c:f>
              <c:numCache>
                <c:formatCode>#,##0</c:formatCode>
                <c:ptCount val="31"/>
                <c:pt idx="0">
                  <c:v>797010</c:v>
                </c:pt>
                <c:pt idx="1">
                  <c:v>380249</c:v>
                </c:pt>
                <c:pt idx="2">
                  <c:v>1495189</c:v>
                </c:pt>
                <c:pt idx="3">
                  <c:v>936826</c:v>
                </c:pt>
                <c:pt idx="4">
                  <c:v>251871</c:v>
                </c:pt>
                <c:pt idx="5">
                  <c:v>259005</c:v>
                </c:pt>
                <c:pt idx="6">
                  <c:v>553374</c:v>
                </c:pt>
                <c:pt idx="7">
                  <c:v>819543</c:v>
                </c:pt>
                <c:pt idx="8">
                  <c:v>725123</c:v>
                </c:pt>
                <c:pt idx="9">
                  <c:v>146904</c:v>
                </c:pt>
                <c:pt idx="10">
                  <c:v>582267</c:v>
                </c:pt>
                <c:pt idx="11">
                  <c:v>819561</c:v>
                </c:pt>
                <c:pt idx="12">
                  <c:v>171709</c:v>
                </c:pt>
                <c:pt idx="13">
                  <c:v>241717</c:v>
                </c:pt>
                <c:pt idx="14">
                  <c:v>267862</c:v>
                </c:pt>
                <c:pt idx="15">
                  <c:v>729279</c:v>
                </c:pt>
                <c:pt idx="16">
                  <c:v>365168</c:v>
                </c:pt>
                <c:pt idx="17">
                  <c:v>1135550</c:v>
                </c:pt>
                <c:pt idx="18">
                  <c:v>263357</c:v>
                </c:pt>
                <c:pt idx="19">
                  <c:v>1539819</c:v>
                </c:pt>
                <c:pt idx="20">
                  <c:v>801940</c:v>
                </c:pt>
                <c:pt idx="21">
                  <c:v>79535</c:v>
                </c:pt>
                <c:pt idx="22">
                  <c:v>772604</c:v>
                </c:pt>
                <c:pt idx="23">
                  <c:v>858638</c:v>
                </c:pt>
                <c:pt idx="24">
                  <c:v>784342</c:v>
                </c:pt>
                <c:pt idx="25">
                  <c:v>36391</c:v>
                </c:pt>
                <c:pt idx="26">
                  <c:v>489193</c:v>
                </c:pt>
                <c:pt idx="27">
                  <c:v>89795</c:v>
                </c:pt>
                <c:pt idx="28">
                  <c:v>457928</c:v>
                </c:pt>
                <c:pt idx="29">
                  <c:v>830732</c:v>
                </c:pt>
                <c:pt idx="30">
                  <c:v>138176</c:v>
                </c:pt>
              </c:numCache>
            </c:numRef>
          </c:xVal>
          <c:yVal>
            <c:numRef>
              <c:f>Sheet1!$J$5:$J$35</c:f>
              <c:numCache>
                <c:formatCode>#,##0</c:formatCode>
                <c:ptCount val="31"/>
                <c:pt idx="0">
                  <c:v>841567</c:v>
                </c:pt>
                <c:pt idx="1">
                  <c:v>401506</c:v>
                </c:pt>
                <c:pt idx="2">
                  <c:v>1578772</c:v>
                </c:pt>
                <c:pt idx="3">
                  <c:v>989190</c:v>
                </c:pt>
                <c:pt idx="4">
                  <c:v>265951</c:v>
                </c:pt>
                <c:pt idx="5">
                  <c:v>273483</c:v>
                </c:pt>
                <c:pt idx="6">
                  <c:v>584312</c:v>
                </c:pt>
                <c:pt idx="7">
                  <c:v>865366</c:v>
                </c:pt>
                <c:pt idx="8">
                  <c:v>765655</c:v>
                </c:pt>
                <c:pt idx="9">
                  <c:v>155117</c:v>
                </c:pt>
                <c:pt idx="10">
                  <c:v>614817</c:v>
                </c:pt>
                <c:pt idx="11">
                  <c:v>865383</c:v>
                </c:pt>
                <c:pt idx="12">
                  <c:v>181313</c:v>
                </c:pt>
                <c:pt idx="13">
                  <c:v>255228</c:v>
                </c:pt>
                <c:pt idx="14">
                  <c:v>282834</c:v>
                </c:pt>
                <c:pt idx="15">
                  <c:v>770046</c:v>
                </c:pt>
                <c:pt idx="16">
                  <c:v>385582</c:v>
                </c:pt>
                <c:pt idx="17">
                  <c:v>1199034</c:v>
                </c:pt>
                <c:pt idx="18">
                  <c:v>278084</c:v>
                </c:pt>
                <c:pt idx="19">
                  <c:v>1625900</c:v>
                </c:pt>
                <c:pt idx="20">
                  <c:v>846780</c:v>
                </c:pt>
                <c:pt idx="21">
                  <c:v>83980</c:v>
                </c:pt>
                <c:pt idx="22">
                  <c:v>815781</c:v>
                </c:pt>
                <c:pt idx="23">
                  <c:v>906649</c:v>
                </c:pt>
                <c:pt idx="24">
                  <c:v>828188</c:v>
                </c:pt>
                <c:pt idx="25">
                  <c:v>38425</c:v>
                </c:pt>
                <c:pt idx="26">
                  <c:v>634436</c:v>
                </c:pt>
                <c:pt idx="27">
                  <c:v>94816</c:v>
                </c:pt>
                <c:pt idx="28">
                  <c:v>483536</c:v>
                </c:pt>
                <c:pt idx="29">
                  <c:v>877175</c:v>
                </c:pt>
                <c:pt idx="30">
                  <c:v>145890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EB-4AC3-8A6C-7B2FE9E5C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243680"/>
        <c:axId val="389244664"/>
      </c:scatterChart>
      <c:valAx>
        <c:axId val="3892436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Censo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89244664"/>
        <c:crosses val="autoZero"/>
        <c:crossBetween val="midCat"/>
      </c:valAx>
      <c:valAx>
        <c:axId val="3892446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Estimación GWP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8924368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2020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2020</c:v>
          </c:tx>
          <c:spPr>
            <a:ln w="19050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Sheet1!$F$5:$F$35</c:f>
              <c:numCache>
                <c:formatCode>#,##0</c:formatCode>
                <c:ptCount val="31"/>
                <c:pt idx="0">
                  <c:v>948990</c:v>
                </c:pt>
                <c:pt idx="1">
                  <c:v>425924</c:v>
                </c:pt>
                <c:pt idx="2">
                  <c:v>1385629</c:v>
                </c:pt>
                <c:pt idx="3">
                  <c:v>1049792</c:v>
                </c:pt>
                <c:pt idx="4">
                  <c:v>292241</c:v>
                </c:pt>
                <c:pt idx="5">
                  <c:v>294077</c:v>
                </c:pt>
                <c:pt idx="6">
                  <c:v>604147</c:v>
                </c:pt>
                <c:pt idx="7">
                  <c:v>937674</c:v>
                </c:pt>
                <c:pt idx="8">
                  <c:v>879958</c:v>
                </c:pt>
                <c:pt idx="9">
                  <c:v>157048</c:v>
                </c:pt>
                <c:pt idx="10">
                  <c:v>688697</c:v>
                </c:pt>
                <c:pt idx="11">
                  <c:v>910608</c:v>
                </c:pt>
                <c:pt idx="12">
                  <c:v>194500</c:v>
                </c:pt>
                <c:pt idx="13">
                  <c:v>283354</c:v>
                </c:pt>
                <c:pt idx="14">
                  <c:v>314331</c:v>
                </c:pt>
                <c:pt idx="15">
                  <c:v>849053</c:v>
                </c:pt>
                <c:pt idx="16">
                  <c:v>378476</c:v>
                </c:pt>
                <c:pt idx="17">
                  <c:v>1142994</c:v>
                </c:pt>
                <c:pt idx="18">
                  <c:v>270955</c:v>
                </c:pt>
                <c:pt idx="19">
                  <c:v>1692181</c:v>
                </c:pt>
                <c:pt idx="20">
                  <c:v>1049777</c:v>
                </c:pt>
                <c:pt idx="21">
                  <c:v>88626</c:v>
                </c:pt>
                <c:pt idx="22">
                  <c:v>911908</c:v>
                </c:pt>
                <c:pt idx="23">
                  <c:v>1003530</c:v>
                </c:pt>
                <c:pt idx="24">
                  <c:v>936263</c:v>
                </c:pt>
                <c:pt idx="25">
                  <c:v>37749</c:v>
                </c:pt>
                <c:pt idx="26">
                  <c:v>541979</c:v>
                </c:pt>
                <c:pt idx="27">
                  <c:v>99896</c:v>
                </c:pt>
                <c:pt idx="28">
                  <c:v>488531</c:v>
                </c:pt>
                <c:pt idx="29">
                  <c:v>995129</c:v>
                </c:pt>
                <c:pt idx="30">
                  <c:v>149607</c:v>
                </c:pt>
              </c:numCache>
            </c:numRef>
          </c:xVal>
          <c:yVal>
            <c:numRef>
              <c:f>Sheet1!$K$5:$K$35</c:f>
              <c:numCache>
                <c:formatCode>#,##0</c:formatCode>
                <c:ptCount val="31"/>
                <c:pt idx="0">
                  <c:v>929504</c:v>
                </c:pt>
                <c:pt idx="1">
                  <c:v>466301</c:v>
                </c:pt>
                <c:pt idx="2">
                  <c:v>1251784</c:v>
                </c:pt>
                <c:pt idx="3">
                  <c:v>1077095</c:v>
                </c:pt>
                <c:pt idx="4">
                  <c:v>318038</c:v>
                </c:pt>
                <c:pt idx="5">
                  <c:v>292320</c:v>
                </c:pt>
                <c:pt idx="6">
                  <c:v>642038</c:v>
                </c:pt>
                <c:pt idx="7">
                  <c:v>917612</c:v>
                </c:pt>
                <c:pt idx="8">
                  <c:v>869024</c:v>
                </c:pt>
                <c:pt idx="9">
                  <c:v>173920</c:v>
                </c:pt>
                <c:pt idx="10">
                  <c:v>683111</c:v>
                </c:pt>
                <c:pt idx="11">
                  <c:v>945576</c:v>
                </c:pt>
                <c:pt idx="12">
                  <c:v>206596</c:v>
                </c:pt>
                <c:pt idx="13">
                  <c:v>295395</c:v>
                </c:pt>
                <c:pt idx="14">
                  <c:v>242901</c:v>
                </c:pt>
                <c:pt idx="15">
                  <c:v>795377</c:v>
                </c:pt>
                <c:pt idx="16">
                  <c:v>383499</c:v>
                </c:pt>
                <c:pt idx="17">
                  <c:v>1093265</c:v>
                </c:pt>
                <c:pt idx="18">
                  <c:v>249640</c:v>
                </c:pt>
                <c:pt idx="19">
                  <c:v>1587069</c:v>
                </c:pt>
                <c:pt idx="20">
                  <c:v>918468</c:v>
                </c:pt>
                <c:pt idx="21">
                  <c:v>90141</c:v>
                </c:pt>
                <c:pt idx="22">
                  <c:v>828492</c:v>
                </c:pt>
                <c:pt idx="23">
                  <c:v>964442</c:v>
                </c:pt>
                <c:pt idx="24">
                  <c:v>940221</c:v>
                </c:pt>
                <c:pt idx="25">
                  <c:v>40984</c:v>
                </c:pt>
                <c:pt idx="26">
                  <c:v>649601</c:v>
                </c:pt>
                <c:pt idx="27">
                  <c:v>99082</c:v>
                </c:pt>
                <c:pt idx="28">
                  <c:v>540005</c:v>
                </c:pt>
                <c:pt idx="29">
                  <c:v>901809</c:v>
                </c:pt>
                <c:pt idx="30">
                  <c:v>145246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C4-446F-B37E-7A2CA1307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811584"/>
        <c:axId val="323814864"/>
      </c:scatterChart>
      <c:valAx>
        <c:axId val="3238115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Censo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23814864"/>
        <c:crosses val="autoZero"/>
        <c:crossBetween val="midCat"/>
      </c:valAx>
      <c:valAx>
        <c:axId val="3238148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Estimación GWP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2381158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Comparacion</a:t>
            </a:r>
            <a:r>
              <a:rPr lang="en-US" baseline="0"/>
              <a:t> datos de 2020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Censo real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Sheet1!$A$5:$A$35</c:f>
              <c:strCache>
                <c:ptCount val="31"/>
                <c:pt idx="0">
                  <c:v>Aguascalientes</c:v>
                </c:pt>
                <c:pt idx="1">
                  <c:v>Tepic</c:v>
                </c:pt>
                <c:pt idx="2">
                  <c:v>Guadalajara</c:v>
                </c:pt>
                <c:pt idx="3">
                  <c:v>Mexicali</c:v>
                </c:pt>
                <c:pt idx="4">
                  <c:v>La Paz</c:v>
                </c:pt>
                <c:pt idx="5">
                  <c:v>Campeche</c:v>
                </c:pt>
                <c:pt idx="6">
                  <c:v>Tuxtla Gutierrez</c:v>
                </c:pt>
                <c:pt idx="7">
                  <c:v>Chihuahua</c:v>
                </c:pt>
                <c:pt idx="8">
                  <c:v>Saltillo</c:v>
                </c:pt>
                <c:pt idx="9">
                  <c:v>Colima</c:v>
                </c:pt>
                <c:pt idx="10">
                  <c:v>Durango</c:v>
                </c:pt>
                <c:pt idx="11">
                  <c:v>Toluca de Lerdo</c:v>
                </c:pt>
                <c:pt idx="12">
                  <c:v>Guanajuato</c:v>
                </c:pt>
                <c:pt idx="13">
                  <c:v>Chilpancingo de Bravo</c:v>
                </c:pt>
                <c:pt idx="14">
                  <c:v>Pachuca de Soto</c:v>
                </c:pt>
                <c:pt idx="15">
                  <c:v>Morelia</c:v>
                </c:pt>
                <c:pt idx="16">
                  <c:v>Cuernavaca</c:v>
                </c:pt>
                <c:pt idx="17">
                  <c:v>Monterrey</c:v>
                </c:pt>
                <c:pt idx="18">
                  <c:v>Oaxaca de Juarez</c:v>
                </c:pt>
                <c:pt idx="19">
                  <c:v>Puebla de Zaragoza</c:v>
                </c:pt>
                <c:pt idx="20">
                  <c:v>Santiago de Queretaro</c:v>
                </c:pt>
                <c:pt idx="21">
                  <c:v>Cozumel</c:v>
                </c:pt>
                <c:pt idx="22">
                  <c:v>San Luis Potosi</c:v>
                </c:pt>
                <c:pt idx="23">
                  <c:v>Culiacan Rosales</c:v>
                </c:pt>
                <c:pt idx="24">
                  <c:v>Hermosillo</c:v>
                </c:pt>
                <c:pt idx="25">
                  <c:v>Jalapa</c:v>
                </c:pt>
                <c:pt idx="26">
                  <c:v>Matamoros</c:v>
                </c:pt>
                <c:pt idx="27">
                  <c:v>Tlaxcala de Xicohténcatl</c:v>
                </c:pt>
                <c:pt idx="28">
                  <c:v>Xalapa-Enriquez</c:v>
                </c:pt>
                <c:pt idx="29">
                  <c:v>Merida</c:v>
                </c:pt>
                <c:pt idx="30">
                  <c:v>Zacatecas</c:v>
                </c:pt>
              </c:strCache>
            </c:strRef>
          </c:cat>
          <c:val>
            <c:numRef>
              <c:f>Sheet1!$F$5:$F$35</c:f>
              <c:numCache>
                <c:formatCode>#,##0</c:formatCode>
                <c:ptCount val="31"/>
                <c:pt idx="0">
                  <c:v>948990</c:v>
                </c:pt>
                <c:pt idx="1">
                  <c:v>425924</c:v>
                </c:pt>
                <c:pt idx="2">
                  <c:v>1385629</c:v>
                </c:pt>
                <c:pt idx="3">
                  <c:v>1049792</c:v>
                </c:pt>
                <c:pt idx="4">
                  <c:v>292241</c:v>
                </c:pt>
                <c:pt idx="5">
                  <c:v>294077</c:v>
                </c:pt>
                <c:pt idx="6">
                  <c:v>604147</c:v>
                </c:pt>
                <c:pt idx="7">
                  <c:v>937674</c:v>
                </c:pt>
                <c:pt idx="8">
                  <c:v>879958</c:v>
                </c:pt>
                <c:pt idx="9">
                  <c:v>157048</c:v>
                </c:pt>
                <c:pt idx="10">
                  <c:v>688697</c:v>
                </c:pt>
                <c:pt idx="11">
                  <c:v>910608</c:v>
                </c:pt>
                <c:pt idx="12">
                  <c:v>194500</c:v>
                </c:pt>
                <c:pt idx="13">
                  <c:v>283354</c:v>
                </c:pt>
                <c:pt idx="14">
                  <c:v>314331</c:v>
                </c:pt>
                <c:pt idx="15">
                  <c:v>849053</c:v>
                </c:pt>
                <c:pt idx="16">
                  <c:v>378476</c:v>
                </c:pt>
                <c:pt idx="17">
                  <c:v>1142994</c:v>
                </c:pt>
                <c:pt idx="18">
                  <c:v>270955</c:v>
                </c:pt>
                <c:pt idx="19">
                  <c:v>1692181</c:v>
                </c:pt>
                <c:pt idx="20">
                  <c:v>1049777</c:v>
                </c:pt>
                <c:pt idx="21">
                  <c:v>88626</c:v>
                </c:pt>
                <c:pt idx="22">
                  <c:v>911908</c:v>
                </c:pt>
                <c:pt idx="23">
                  <c:v>1003530</c:v>
                </c:pt>
                <c:pt idx="24">
                  <c:v>936263</c:v>
                </c:pt>
                <c:pt idx="25">
                  <c:v>37749</c:v>
                </c:pt>
                <c:pt idx="26">
                  <c:v>541979</c:v>
                </c:pt>
                <c:pt idx="27">
                  <c:v>99896</c:v>
                </c:pt>
                <c:pt idx="28">
                  <c:v>488531</c:v>
                </c:pt>
                <c:pt idx="29">
                  <c:v>995129</c:v>
                </c:pt>
                <c:pt idx="30">
                  <c:v>149607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CD-D74D-A9B3-39611D4B7759}"/>
            </c:ext>
          </c:extLst>
        </c:ser>
        <c:ser>
          <c:idx val="1"/>
          <c:order val="1"/>
          <c:tx>
            <c:v>Proyeccion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Sheet1!$A$5:$A$35</c:f>
              <c:strCache>
                <c:ptCount val="31"/>
                <c:pt idx="0">
                  <c:v>Aguascalientes</c:v>
                </c:pt>
                <c:pt idx="1">
                  <c:v>Tepic</c:v>
                </c:pt>
                <c:pt idx="2">
                  <c:v>Guadalajara</c:v>
                </c:pt>
                <c:pt idx="3">
                  <c:v>Mexicali</c:v>
                </c:pt>
                <c:pt idx="4">
                  <c:v>La Paz</c:v>
                </c:pt>
                <c:pt idx="5">
                  <c:v>Campeche</c:v>
                </c:pt>
                <c:pt idx="6">
                  <c:v>Tuxtla Gutierrez</c:v>
                </c:pt>
                <c:pt idx="7">
                  <c:v>Chihuahua</c:v>
                </c:pt>
                <c:pt idx="8">
                  <c:v>Saltillo</c:v>
                </c:pt>
                <c:pt idx="9">
                  <c:v>Colima</c:v>
                </c:pt>
                <c:pt idx="10">
                  <c:v>Durango</c:v>
                </c:pt>
                <c:pt idx="11">
                  <c:v>Toluca de Lerdo</c:v>
                </c:pt>
                <c:pt idx="12">
                  <c:v>Guanajuato</c:v>
                </c:pt>
                <c:pt idx="13">
                  <c:v>Chilpancingo de Bravo</c:v>
                </c:pt>
                <c:pt idx="14">
                  <c:v>Pachuca de Soto</c:v>
                </c:pt>
                <c:pt idx="15">
                  <c:v>Morelia</c:v>
                </c:pt>
                <c:pt idx="16">
                  <c:v>Cuernavaca</c:v>
                </c:pt>
                <c:pt idx="17">
                  <c:v>Monterrey</c:v>
                </c:pt>
                <c:pt idx="18">
                  <c:v>Oaxaca de Juarez</c:v>
                </c:pt>
                <c:pt idx="19">
                  <c:v>Puebla de Zaragoza</c:v>
                </c:pt>
                <c:pt idx="20">
                  <c:v>Santiago de Queretaro</c:v>
                </c:pt>
                <c:pt idx="21">
                  <c:v>Cozumel</c:v>
                </c:pt>
                <c:pt idx="22">
                  <c:v>San Luis Potosi</c:v>
                </c:pt>
                <c:pt idx="23">
                  <c:v>Culiacan Rosales</c:v>
                </c:pt>
                <c:pt idx="24">
                  <c:v>Hermosillo</c:v>
                </c:pt>
                <c:pt idx="25">
                  <c:v>Jalapa</c:v>
                </c:pt>
                <c:pt idx="26">
                  <c:v>Matamoros</c:v>
                </c:pt>
                <c:pt idx="27">
                  <c:v>Tlaxcala de Xicohténcatl</c:v>
                </c:pt>
                <c:pt idx="28">
                  <c:v>Xalapa-Enriquez</c:v>
                </c:pt>
                <c:pt idx="29">
                  <c:v>Merida</c:v>
                </c:pt>
                <c:pt idx="30">
                  <c:v>Zacatecas</c:v>
                </c:pt>
              </c:strCache>
            </c:strRef>
          </c:cat>
          <c:val>
            <c:numRef>
              <c:f>Sheet1!$K$5:$K$35</c:f>
              <c:numCache>
                <c:formatCode>#,##0</c:formatCode>
                <c:ptCount val="31"/>
                <c:pt idx="0">
                  <c:v>929504</c:v>
                </c:pt>
                <c:pt idx="1">
                  <c:v>466301</c:v>
                </c:pt>
                <c:pt idx="2">
                  <c:v>1251784</c:v>
                </c:pt>
                <c:pt idx="3">
                  <c:v>1077095</c:v>
                </c:pt>
                <c:pt idx="4">
                  <c:v>318038</c:v>
                </c:pt>
                <c:pt idx="5">
                  <c:v>292320</c:v>
                </c:pt>
                <c:pt idx="6">
                  <c:v>642038</c:v>
                </c:pt>
                <c:pt idx="7">
                  <c:v>917612</c:v>
                </c:pt>
                <c:pt idx="8">
                  <c:v>869024</c:v>
                </c:pt>
                <c:pt idx="9">
                  <c:v>173920</c:v>
                </c:pt>
                <c:pt idx="10">
                  <c:v>683111</c:v>
                </c:pt>
                <c:pt idx="11">
                  <c:v>945576</c:v>
                </c:pt>
                <c:pt idx="12">
                  <c:v>206596</c:v>
                </c:pt>
                <c:pt idx="13">
                  <c:v>295395</c:v>
                </c:pt>
                <c:pt idx="14">
                  <c:v>242901</c:v>
                </c:pt>
                <c:pt idx="15">
                  <c:v>795377</c:v>
                </c:pt>
                <c:pt idx="16">
                  <c:v>383499</c:v>
                </c:pt>
                <c:pt idx="17">
                  <c:v>1093265</c:v>
                </c:pt>
                <c:pt idx="18">
                  <c:v>249640</c:v>
                </c:pt>
                <c:pt idx="19">
                  <c:v>1587069</c:v>
                </c:pt>
                <c:pt idx="20">
                  <c:v>918468</c:v>
                </c:pt>
                <c:pt idx="21">
                  <c:v>90141</c:v>
                </c:pt>
                <c:pt idx="22">
                  <c:v>828492</c:v>
                </c:pt>
                <c:pt idx="23">
                  <c:v>964442</c:v>
                </c:pt>
                <c:pt idx="24">
                  <c:v>940221</c:v>
                </c:pt>
                <c:pt idx="25">
                  <c:v>40984</c:v>
                </c:pt>
                <c:pt idx="26">
                  <c:v>649601</c:v>
                </c:pt>
                <c:pt idx="27">
                  <c:v>99082</c:v>
                </c:pt>
                <c:pt idx="28">
                  <c:v>540005</c:v>
                </c:pt>
                <c:pt idx="29">
                  <c:v>901809</c:v>
                </c:pt>
                <c:pt idx="30">
                  <c:v>145246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CD-D74D-A9B3-39611D4B77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634047"/>
        <c:axId val="424740271"/>
      </c:lineChart>
      <c:catAx>
        <c:axId val="41634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40271"/>
        <c:crosses val="autoZero"/>
        <c:auto val="1"/>
        <c:lblAlgn val="ctr"/>
        <c:lblOffset val="100"/>
        <c:noMultiLvlLbl val="0"/>
      </c:catAx>
      <c:valAx>
        <c:axId val="424740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Poblacion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34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Comparacion datos 2010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Censo real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Sheet1!$A$5:$A$35</c:f>
              <c:strCache>
                <c:ptCount val="31"/>
                <c:pt idx="0">
                  <c:v>Aguascalientes</c:v>
                </c:pt>
                <c:pt idx="1">
                  <c:v>Tepic</c:v>
                </c:pt>
                <c:pt idx="2">
                  <c:v>Guadalajara</c:v>
                </c:pt>
                <c:pt idx="3">
                  <c:v>Mexicali</c:v>
                </c:pt>
                <c:pt idx="4">
                  <c:v>La Paz</c:v>
                </c:pt>
                <c:pt idx="5">
                  <c:v>Campeche</c:v>
                </c:pt>
                <c:pt idx="6">
                  <c:v>Tuxtla Gutierrez</c:v>
                </c:pt>
                <c:pt idx="7">
                  <c:v>Chihuahua</c:v>
                </c:pt>
                <c:pt idx="8">
                  <c:v>Saltillo</c:v>
                </c:pt>
                <c:pt idx="9">
                  <c:v>Colima</c:v>
                </c:pt>
                <c:pt idx="10">
                  <c:v>Durango</c:v>
                </c:pt>
                <c:pt idx="11">
                  <c:v>Toluca de Lerdo</c:v>
                </c:pt>
                <c:pt idx="12">
                  <c:v>Guanajuato</c:v>
                </c:pt>
                <c:pt idx="13">
                  <c:v>Chilpancingo de Bravo</c:v>
                </c:pt>
                <c:pt idx="14">
                  <c:v>Pachuca de Soto</c:v>
                </c:pt>
                <c:pt idx="15">
                  <c:v>Morelia</c:v>
                </c:pt>
                <c:pt idx="16">
                  <c:v>Cuernavaca</c:v>
                </c:pt>
                <c:pt idx="17">
                  <c:v>Monterrey</c:v>
                </c:pt>
                <c:pt idx="18">
                  <c:v>Oaxaca de Juarez</c:v>
                </c:pt>
                <c:pt idx="19">
                  <c:v>Puebla de Zaragoza</c:v>
                </c:pt>
                <c:pt idx="20">
                  <c:v>Santiago de Queretaro</c:v>
                </c:pt>
                <c:pt idx="21">
                  <c:v>Cozumel</c:v>
                </c:pt>
                <c:pt idx="22">
                  <c:v>San Luis Potosi</c:v>
                </c:pt>
                <c:pt idx="23">
                  <c:v>Culiacan Rosales</c:v>
                </c:pt>
                <c:pt idx="24">
                  <c:v>Hermosillo</c:v>
                </c:pt>
                <c:pt idx="25">
                  <c:v>Jalapa</c:v>
                </c:pt>
                <c:pt idx="26">
                  <c:v>Matamoros</c:v>
                </c:pt>
                <c:pt idx="27">
                  <c:v>Tlaxcala de Xicohténcatl</c:v>
                </c:pt>
                <c:pt idx="28">
                  <c:v>Xalapa-Enriquez</c:v>
                </c:pt>
                <c:pt idx="29">
                  <c:v>Merida</c:v>
                </c:pt>
                <c:pt idx="30">
                  <c:v>Zacatecas</c:v>
                </c:pt>
              </c:strCache>
            </c:strRef>
          </c:cat>
          <c:val>
            <c:numRef>
              <c:f>Sheet1!$E$5:$E$35</c:f>
              <c:numCache>
                <c:formatCode>#,##0</c:formatCode>
                <c:ptCount val="31"/>
                <c:pt idx="0">
                  <c:v>797010</c:v>
                </c:pt>
                <c:pt idx="1">
                  <c:v>380249</c:v>
                </c:pt>
                <c:pt idx="2">
                  <c:v>1495189</c:v>
                </c:pt>
                <c:pt idx="3">
                  <c:v>936826</c:v>
                </c:pt>
                <c:pt idx="4">
                  <c:v>251871</c:v>
                </c:pt>
                <c:pt idx="5">
                  <c:v>259005</c:v>
                </c:pt>
                <c:pt idx="6">
                  <c:v>553374</c:v>
                </c:pt>
                <c:pt idx="7">
                  <c:v>819543</c:v>
                </c:pt>
                <c:pt idx="8">
                  <c:v>725123</c:v>
                </c:pt>
                <c:pt idx="9">
                  <c:v>146904</c:v>
                </c:pt>
                <c:pt idx="10">
                  <c:v>582267</c:v>
                </c:pt>
                <c:pt idx="11">
                  <c:v>819561</c:v>
                </c:pt>
                <c:pt idx="12">
                  <c:v>171709</c:v>
                </c:pt>
                <c:pt idx="13">
                  <c:v>241717</c:v>
                </c:pt>
                <c:pt idx="14">
                  <c:v>267862</c:v>
                </c:pt>
                <c:pt idx="15">
                  <c:v>729279</c:v>
                </c:pt>
                <c:pt idx="16">
                  <c:v>365168</c:v>
                </c:pt>
                <c:pt idx="17">
                  <c:v>1135550</c:v>
                </c:pt>
                <c:pt idx="18">
                  <c:v>263357</c:v>
                </c:pt>
                <c:pt idx="19">
                  <c:v>1539819</c:v>
                </c:pt>
                <c:pt idx="20">
                  <c:v>801940</c:v>
                </c:pt>
                <c:pt idx="21">
                  <c:v>79535</c:v>
                </c:pt>
                <c:pt idx="22">
                  <c:v>772604</c:v>
                </c:pt>
                <c:pt idx="23">
                  <c:v>858638</c:v>
                </c:pt>
                <c:pt idx="24">
                  <c:v>784342</c:v>
                </c:pt>
                <c:pt idx="25">
                  <c:v>36391</c:v>
                </c:pt>
                <c:pt idx="26">
                  <c:v>489193</c:v>
                </c:pt>
                <c:pt idx="27">
                  <c:v>89795</c:v>
                </c:pt>
                <c:pt idx="28">
                  <c:v>457928</c:v>
                </c:pt>
                <c:pt idx="29">
                  <c:v>830732</c:v>
                </c:pt>
                <c:pt idx="30">
                  <c:v>138176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39-2C43-97D6-B4837E1D859F}"/>
            </c:ext>
          </c:extLst>
        </c:ser>
        <c:ser>
          <c:idx val="1"/>
          <c:order val="1"/>
          <c:tx>
            <c:v>Proyeccion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Sheet1!$A$5:$A$35</c:f>
              <c:strCache>
                <c:ptCount val="31"/>
                <c:pt idx="0">
                  <c:v>Aguascalientes</c:v>
                </c:pt>
                <c:pt idx="1">
                  <c:v>Tepic</c:v>
                </c:pt>
                <c:pt idx="2">
                  <c:v>Guadalajara</c:v>
                </c:pt>
                <c:pt idx="3">
                  <c:v>Mexicali</c:v>
                </c:pt>
                <c:pt idx="4">
                  <c:v>La Paz</c:v>
                </c:pt>
                <c:pt idx="5">
                  <c:v>Campeche</c:v>
                </c:pt>
                <c:pt idx="6">
                  <c:v>Tuxtla Gutierrez</c:v>
                </c:pt>
                <c:pt idx="7">
                  <c:v>Chihuahua</c:v>
                </c:pt>
                <c:pt idx="8">
                  <c:v>Saltillo</c:v>
                </c:pt>
                <c:pt idx="9">
                  <c:v>Colima</c:v>
                </c:pt>
                <c:pt idx="10">
                  <c:v>Durango</c:v>
                </c:pt>
                <c:pt idx="11">
                  <c:v>Toluca de Lerdo</c:v>
                </c:pt>
                <c:pt idx="12">
                  <c:v>Guanajuato</c:v>
                </c:pt>
                <c:pt idx="13">
                  <c:v>Chilpancingo de Bravo</c:v>
                </c:pt>
                <c:pt idx="14">
                  <c:v>Pachuca de Soto</c:v>
                </c:pt>
                <c:pt idx="15">
                  <c:v>Morelia</c:v>
                </c:pt>
                <c:pt idx="16">
                  <c:v>Cuernavaca</c:v>
                </c:pt>
                <c:pt idx="17">
                  <c:v>Monterrey</c:v>
                </c:pt>
                <c:pt idx="18">
                  <c:v>Oaxaca de Juarez</c:v>
                </c:pt>
                <c:pt idx="19">
                  <c:v>Puebla de Zaragoza</c:v>
                </c:pt>
                <c:pt idx="20">
                  <c:v>Santiago de Queretaro</c:v>
                </c:pt>
                <c:pt idx="21">
                  <c:v>Cozumel</c:v>
                </c:pt>
                <c:pt idx="22">
                  <c:v>San Luis Potosi</c:v>
                </c:pt>
                <c:pt idx="23">
                  <c:v>Culiacan Rosales</c:v>
                </c:pt>
                <c:pt idx="24">
                  <c:v>Hermosillo</c:v>
                </c:pt>
                <c:pt idx="25">
                  <c:v>Jalapa</c:v>
                </c:pt>
                <c:pt idx="26">
                  <c:v>Matamoros</c:v>
                </c:pt>
                <c:pt idx="27">
                  <c:v>Tlaxcala de Xicohténcatl</c:v>
                </c:pt>
                <c:pt idx="28">
                  <c:v>Xalapa-Enriquez</c:v>
                </c:pt>
                <c:pt idx="29">
                  <c:v>Merida</c:v>
                </c:pt>
                <c:pt idx="30">
                  <c:v>Zacatecas</c:v>
                </c:pt>
              </c:strCache>
            </c:strRef>
          </c:cat>
          <c:val>
            <c:numRef>
              <c:f>Sheet1!$J$5:$J$35</c:f>
              <c:numCache>
                <c:formatCode>#,##0</c:formatCode>
                <c:ptCount val="31"/>
                <c:pt idx="0">
                  <c:v>841567</c:v>
                </c:pt>
                <c:pt idx="1">
                  <c:v>401506</c:v>
                </c:pt>
                <c:pt idx="2">
                  <c:v>1578772</c:v>
                </c:pt>
                <c:pt idx="3">
                  <c:v>989190</c:v>
                </c:pt>
                <c:pt idx="4">
                  <c:v>265951</c:v>
                </c:pt>
                <c:pt idx="5">
                  <c:v>273483</c:v>
                </c:pt>
                <c:pt idx="6">
                  <c:v>584312</c:v>
                </c:pt>
                <c:pt idx="7">
                  <c:v>865366</c:v>
                </c:pt>
                <c:pt idx="8">
                  <c:v>765655</c:v>
                </c:pt>
                <c:pt idx="9">
                  <c:v>155117</c:v>
                </c:pt>
                <c:pt idx="10">
                  <c:v>614817</c:v>
                </c:pt>
                <c:pt idx="11">
                  <c:v>865383</c:v>
                </c:pt>
                <c:pt idx="12">
                  <c:v>181313</c:v>
                </c:pt>
                <c:pt idx="13">
                  <c:v>255228</c:v>
                </c:pt>
                <c:pt idx="14">
                  <c:v>282834</c:v>
                </c:pt>
                <c:pt idx="15">
                  <c:v>770046</c:v>
                </c:pt>
                <c:pt idx="16">
                  <c:v>385582</c:v>
                </c:pt>
                <c:pt idx="17">
                  <c:v>1199034</c:v>
                </c:pt>
                <c:pt idx="18">
                  <c:v>278084</c:v>
                </c:pt>
                <c:pt idx="19">
                  <c:v>1625900</c:v>
                </c:pt>
                <c:pt idx="20">
                  <c:v>846780</c:v>
                </c:pt>
                <c:pt idx="21">
                  <c:v>83980</c:v>
                </c:pt>
                <c:pt idx="22">
                  <c:v>815781</c:v>
                </c:pt>
                <c:pt idx="23">
                  <c:v>906649</c:v>
                </c:pt>
                <c:pt idx="24">
                  <c:v>828188</c:v>
                </c:pt>
                <c:pt idx="25">
                  <c:v>38425</c:v>
                </c:pt>
                <c:pt idx="26">
                  <c:v>634436</c:v>
                </c:pt>
                <c:pt idx="27">
                  <c:v>94816</c:v>
                </c:pt>
                <c:pt idx="28">
                  <c:v>483536</c:v>
                </c:pt>
                <c:pt idx="29">
                  <c:v>877175</c:v>
                </c:pt>
                <c:pt idx="30">
                  <c:v>145890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39-2C43-97D6-B4837E1D85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1358047"/>
        <c:axId val="421149983"/>
      </c:lineChart>
      <c:catAx>
        <c:axId val="431358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49983"/>
        <c:crosses val="autoZero"/>
        <c:auto val="1"/>
        <c:lblAlgn val="ctr"/>
        <c:lblOffset val="100"/>
        <c:noMultiLvlLbl val="0"/>
      </c:catAx>
      <c:valAx>
        <c:axId val="42114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358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AB3B45A-E933-4BE4-BC31-D01C242C0FD0}">
  <sheetPr codeName="Chart1"/>
  <sheetViews>
    <sheetView zoomScale="6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354F683-E05A-4D47-AF6B-12F826BB307C}">
  <sheetPr codeName="Chart2"/>
  <sheetViews>
    <sheetView zoomScale="6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B5C23A5-E03B-4B77-A1B0-BE1413B09248}">
  <sheetPr codeName="Chart3"/>
  <sheetViews>
    <sheetView zoomScale="64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EEDFE05-B2A5-4685-BFDE-A7F8A0A57814}">
  <sheetPr codeName="Chart4"/>
  <sheetViews>
    <sheetView zoomScale="64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7050639-52BA-4D06-BEC8-A3B11C4018BD}">
  <sheetPr codeName="Chart5"/>
  <sheetViews>
    <sheetView zoomScale="64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F2D3E09-405C-4C48-A205-1E8BA27FF223}">
  <sheetPr/>
  <sheetViews>
    <sheetView zoomScale="87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CED3E4E-5BFE-4D5A-AE82-F7BEB957721F}">
  <sheetPr/>
  <sheetViews>
    <sheetView zoomScale="87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D8DACF-8804-49AF-B95D-DFD33B8914E7}">
  <sheetPr/>
  <sheetViews>
    <sheetView zoomScale="87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10D7A3C-7206-43F1-A083-56FD786301C4}">
  <sheetPr/>
  <sheetViews>
    <sheetView tabSelected="1" zoomScale="8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1797" cy="629046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1797" cy="629046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1797" cy="629046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1797" cy="629046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1797" cy="629046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62276" cy="6279931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708DDD3-F760-4922-A44D-DEC875B9D9D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62276" cy="6279931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F63FC11-F75A-4F14-A863-154FEEB4E2B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2276" cy="6279931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2BD4879-95E5-49DF-95E6-9084B547472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2276" cy="6279931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F24C272-3C9C-42D3-AA28-92E937827B3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321972</xdr:colOff>
      <xdr:row>2</xdr:row>
      <xdr:rowOff>17887</xdr:rowOff>
    </xdr:from>
    <xdr:to>
      <xdr:col>35</xdr:col>
      <xdr:colOff>152043</xdr:colOff>
      <xdr:row>29</xdr:row>
      <xdr:rowOff>196760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295143</xdr:colOff>
      <xdr:row>30</xdr:row>
      <xdr:rowOff>178875</xdr:rowOff>
    </xdr:from>
    <xdr:to>
      <xdr:col>35</xdr:col>
      <xdr:colOff>152044</xdr:colOff>
      <xdr:row>59</xdr:row>
      <xdr:rowOff>107326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830580</xdr:colOff>
          <xdr:row>39</xdr:row>
          <xdr:rowOff>7620</xdr:rowOff>
        </xdr:from>
        <xdr:to>
          <xdr:col>3</xdr:col>
          <xdr:colOff>205740</xdr:colOff>
          <xdr:row>43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E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Municipio (censo vs proyeccion)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784860</xdr:colOff>
          <xdr:row>39</xdr:row>
          <xdr:rowOff>0</xdr:rowOff>
        </xdr:from>
        <xdr:to>
          <xdr:col>6</xdr:col>
          <xdr:colOff>792480</xdr:colOff>
          <xdr:row>43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E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Año (censo vs proyeccion)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2:U37"/>
  <sheetViews>
    <sheetView topLeftCell="A10" zoomScale="71" zoomScaleNormal="71" workbookViewId="0">
      <selection activeCell="F4" sqref="F4"/>
    </sheetView>
  </sheetViews>
  <sheetFormatPr baseColWidth="10" defaultColWidth="10.69921875" defaultRowHeight="15.6" x14ac:dyDescent="0.3"/>
  <cols>
    <col min="1" max="1" width="20.796875" bestFit="1" customWidth="1"/>
    <col min="2" max="2" width="26.796875" bestFit="1" customWidth="1"/>
  </cols>
  <sheetData>
    <row r="2" spans="1:21" x14ac:dyDescent="0.3">
      <c r="T2" cm="1">
        <f t="array" ref="T2">INDEX(LINEST(H5:K5,C5:F5),1)</f>
        <v>0.73774109355813056</v>
      </c>
    </row>
    <row r="3" spans="1:21" x14ac:dyDescent="0.3">
      <c r="A3" s="27" t="s">
        <v>1</v>
      </c>
      <c r="B3" s="27" t="s">
        <v>4</v>
      </c>
      <c r="C3" s="27" t="s">
        <v>0</v>
      </c>
      <c r="D3" s="27"/>
      <c r="E3" s="27"/>
      <c r="F3" s="27"/>
      <c r="G3" s="25"/>
      <c r="H3" s="27" t="s">
        <v>2</v>
      </c>
      <c r="I3" s="27"/>
      <c r="J3" s="27"/>
      <c r="K3" s="27"/>
      <c r="L3" s="26" t="s">
        <v>58</v>
      </c>
      <c r="M3" s="26"/>
      <c r="N3" s="26"/>
      <c r="O3" s="26"/>
      <c r="P3" s="26" t="s">
        <v>59</v>
      </c>
      <c r="Q3" s="26"/>
      <c r="R3" s="26"/>
      <c r="S3" s="26"/>
    </row>
    <row r="4" spans="1:21" x14ac:dyDescent="0.3">
      <c r="A4" s="27"/>
      <c r="B4" s="27"/>
      <c r="C4" s="14">
        <v>2000</v>
      </c>
      <c r="D4" s="14">
        <v>2005</v>
      </c>
      <c r="E4" s="14">
        <v>2010</v>
      </c>
      <c r="F4" s="14">
        <v>2020</v>
      </c>
      <c r="G4" s="14" t="s">
        <v>64</v>
      </c>
      <c r="H4" s="14">
        <v>2000</v>
      </c>
      <c r="I4" s="14">
        <v>2005</v>
      </c>
      <c r="J4" s="14">
        <v>2010</v>
      </c>
      <c r="K4" s="14">
        <v>2020</v>
      </c>
      <c r="L4" s="14">
        <v>2000</v>
      </c>
      <c r="M4" s="14">
        <v>2005</v>
      </c>
      <c r="N4" s="14">
        <v>2010</v>
      </c>
      <c r="O4" s="14">
        <v>2020</v>
      </c>
      <c r="P4" s="14">
        <v>2000</v>
      </c>
      <c r="Q4" s="14">
        <v>2005</v>
      </c>
      <c r="R4" s="14">
        <v>2010</v>
      </c>
      <c r="S4" s="14">
        <v>2020</v>
      </c>
      <c r="T4" t="s">
        <v>65</v>
      </c>
    </row>
    <row r="5" spans="1:21" x14ac:dyDescent="0.3">
      <c r="A5" s="1" t="s">
        <v>3</v>
      </c>
      <c r="B5" s="1" t="s">
        <v>3</v>
      </c>
      <c r="C5" s="2">
        <v>643419</v>
      </c>
      <c r="D5" s="2">
        <v>723043</v>
      </c>
      <c r="E5" s="2">
        <v>797010</v>
      </c>
      <c r="F5" s="2">
        <v>948990</v>
      </c>
      <c r="G5" s="14" t="s">
        <v>64</v>
      </c>
      <c r="H5" s="3">
        <v>705163</v>
      </c>
      <c r="I5" s="3">
        <v>768442</v>
      </c>
      <c r="J5" s="3">
        <v>841567</v>
      </c>
      <c r="K5" s="3">
        <v>929504</v>
      </c>
      <c r="L5" s="18">
        <f>H5-C5</f>
        <v>61744</v>
      </c>
      <c r="M5" s="18">
        <f>I5-D5</f>
        <v>45399</v>
      </c>
      <c r="N5" s="18">
        <f>J5-E5</f>
        <v>44557</v>
      </c>
      <c r="O5" s="18">
        <f>K5-F5</f>
        <v>-19486</v>
      </c>
      <c r="P5" s="16">
        <f>(ABS(L5)/C5)*100</f>
        <v>9.5962351127336927</v>
      </c>
      <c r="Q5" s="16">
        <f>(ABS(M5)/D5)*100</f>
        <v>6.2788796793551702</v>
      </c>
      <c r="R5" s="16">
        <f>(ABS(N5)/E5)*100</f>
        <v>5.590519566881218</v>
      </c>
      <c r="S5" s="16">
        <f>(ABS(O5)/F5)*100</f>
        <v>2.0533409203468951</v>
      </c>
      <c r="T5" s="16" cm="1">
        <f t="array" ref="T5:U9">LINEST(H5:K5,C5:F5,TRUE,TRUE)</f>
        <v>0.73774109355813056</v>
      </c>
      <c r="U5">
        <v>237121.22011546849</v>
      </c>
    </row>
    <row r="6" spans="1:21" x14ac:dyDescent="0.3">
      <c r="A6" s="4" t="s">
        <v>6</v>
      </c>
      <c r="B6" s="4" t="s">
        <v>5</v>
      </c>
      <c r="C6" s="5">
        <v>305176</v>
      </c>
      <c r="D6" s="5">
        <v>336403</v>
      </c>
      <c r="E6" s="5">
        <v>380249</v>
      </c>
      <c r="F6" s="6">
        <v>425924</v>
      </c>
      <c r="G6" s="14" t="s">
        <v>64</v>
      </c>
      <c r="H6" s="7">
        <v>319944</v>
      </c>
      <c r="I6" s="7">
        <v>357524</v>
      </c>
      <c r="J6" s="7">
        <v>401506</v>
      </c>
      <c r="K6" s="7">
        <v>466301</v>
      </c>
      <c r="L6" s="18">
        <f>H6-C6</f>
        <v>14768</v>
      </c>
      <c r="M6" s="18">
        <f>I6-D6</f>
        <v>21121</v>
      </c>
      <c r="N6" s="18">
        <f>J6-E6</f>
        <v>21257</v>
      </c>
      <c r="O6" s="18">
        <f>K6-F6</f>
        <v>40377</v>
      </c>
      <c r="P6" s="16">
        <f>(ABS(L6)/C6)*100</f>
        <v>4.8391747712795237</v>
      </c>
      <c r="Q6" s="16">
        <f>(ABS(M6)/D6)*100</f>
        <v>6.2784814641962168</v>
      </c>
      <c r="R6" s="16">
        <f>(ABS(N6)/E6)*100</f>
        <v>5.5902842611025934</v>
      </c>
      <c r="S6" s="16">
        <f>(ABS(O6)/F6)*100</f>
        <v>9.4798602567594212</v>
      </c>
      <c r="T6">
        <v>6.1118144022091231E-2</v>
      </c>
      <c r="U6">
        <v>48052.487891752564</v>
      </c>
    </row>
    <row r="7" spans="1:21" x14ac:dyDescent="0.3">
      <c r="A7" s="4" t="s">
        <v>7</v>
      </c>
      <c r="B7" s="4" t="s">
        <v>8</v>
      </c>
      <c r="C7" s="5">
        <v>1646319</v>
      </c>
      <c r="D7" s="5">
        <v>1600940</v>
      </c>
      <c r="E7" s="5">
        <v>1495189</v>
      </c>
      <c r="F7" s="8">
        <v>1385629</v>
      </c>
      <c r="G7" s="14" t="s">
        <v>64</v>
      </c>
      <c r="H7" s="7">
        <v>1842803</v>
      </c>
      <c r="I7" s="7">
        <v>1701478</v>
      </c>
      <c r="J7" s="7">
        <v>1578772</v>
      </c>
      <c r="K7" s="7">
        <v>1251784</v>
      </c>
      <c r="L7" s="18">
        <f>H7-C7</f>
        <v>196484</v>
      </c>
      <c r="M7" s="18">
        <f>I7-D7</f>
        <v>100538</v>
      </c>
      <c r="N7" s="18">
        <f>J7-E7</f>
        <v>83583</v>
      </c>
      <c r="O7" s="18">
        <f>K7-F7</f>
        <v>-133845</v>
      </c>
      <c r="P7" s="16">
        <f>(ABS(L7)/C7)*100</f>
        <v>11.934746546689919</v>
      </c>
      <c r="Q7" s="16">
        <f>(ABS(M7)/D7)*100</f>
        <v>6.2799355378715003</v>
      </c>
      <c r="R7" s="16">
        <f>(ABS(N7)/E7)*100</f>
        <v>5.5901294083891742</v>
      </c>
      <c r="S7" s="16">
        <f>(ABS(O7)/F7)*100</f>
        <v>9.6595120338849725</v>
      </c>
      <c r="T7">
        <v>0.98645928721307452</v>
      </c>
      <c r="U7">
        <v>13766.002020362543</v>
      </c>
    </row>
    <row r="8" spans="1:21" x14ac:dyDescent="0.3">
      <c r="A8" s="4" t="s">
        <v>9</v>
      </c>
      <c r="B8" s="4" t="s">
        <v>10</v>
      </c>
      <c r="C8" s="5">
        <v>764602</v>
      </c>
      <c r="D8" s="5">
        <v>855962</v>
      </c>
      <c r="E8" s="5">
        <v>936826</v>
      </c>
      <c r="F8" s="9">
        <v>1049792</v>
      </c>
      <c r="G8" s="14" t="s">
        <v>64</v>
      </c>
      <c r="H8" s="7">
        <v>840761</v>
      </c>
      <c r="I8" s="7">
        <v>909718</v>
      </c>
      <c r="J8" s="7">
        <v>989190</v>
      </c>
      <c r="K8" s="7">
        <v>1077095</v>
      </c>
      <c r="L8" s="18">
        <f>H8-C8</f>
        <v>76159</v>
      </c>
      <c r="M8" s="18">
        <f>I8-D8</f>
        <v>53756</v>
      </c>
      <c r="N8" s="18">
        <f>J8-E8</f>
        <v>52364</v>
      </c>
      <c r="O8" s="18">
        <f>K8-F8</f>
        <v>27303</v>
      </c>
      <c r="P8" s="16">
        <f>(ABS(L8)/C8)*100</f>
        <v>9.9606069562988324</v>
      </c>
      <c r="Q8" s="16">
        <f>(ABS(M8)/D8)*100</f>
        <v>6.280185335330307</v>
      </c>
      <c r="R8" s="16">
        <f>(ABS(N8)/E8)*100</f>
        <v>5.5895118196975746</v>
      </c>
      <c r="S8" s="16">
        <f>(ABS(O8)/F8)*100</f>
        <v>2.6008009205633118</v>
      </c>
      <c r="T8">
        <v>145.70271192304955</v>
      </c>
      <c r="U8">
        <v>2</v>
      </c>
    </row>
    <row r="9" spans="1:21" x14ac:dyDescent="0.3">
      <c r="A9" s="4" t="s">
        <v>12</v>
      </c>
      <c r="B9" s="4" t="s">
        <v>11</v>
      </c>
      <c r="C9" s="5">
        <v>196907</v>
      </c>
      <c r="D9" s="5">
        <v>219596</v>
      </c>
      <c r="E9" s="5">
        <v>251871</v>
      </c>
      <c r="F9" s="9">
        <v>292241</v>
      </c>
      <c r="G9" s="14" t="s">
        <v>64</v>
      </c>
      <c r="H9" s="7">
        <v>205823</v>
      </c>
      <c r="I9" s="7">
        <v>233384</v>
      </c>
      <c r="J9" s="7">
        <v>265951</v>
      </c>
      <c r="K9" s="7">
        <v>318038</v>
      </c>
      <c r="L9" s="18">
        <f>H9-C9</f>
        <v>8916</v>
      </c>
      <c r="M9" s="18">
        <f>I9-D9</f>
        <v>13788</v>
      </c>
      <c r="N9" s="18">
        <f>J9-E9</f>
        <v>14080</v>
      </c>
      <c r="O9" s="18">
        <f>K9-F9</f>
        <v>25797</v>
      </c>
      <c r="P9" s="16">
        <f>(ABS(L9)/C9)*100</f>
        <v>4.5280259208661962</v>
      </c>
      <c r="Q9" s="16">
        <f>(ABS(M9)/D9)*100</f>
        <v>6.2788028925845643</v>
      </c>
      <c r="R9" s="16">
        <f>(ABS(N9)/E9)*100</f>
        <v>5.5901632184729477</v>
      </c>
      <c r="S9" s="16">
        <f>(ABS(O9)/F9)*100</f>
        <v>8.8273034926653011</v>
      </c>
      <c r="T9">
        <v>27611073570.750748</v>
      </c>
      <c r="U9">
        <v>379005623.24925119</v>
      </c>
    </row>
    <row r="10" spans="1:21" x14ac:dyDescent="0.3">
      <c r="A10" s="4" t="s">
        <v>13</v>
      </c>
      <c r="B10" s="4" t="s">
        <v>13</v>
      </c>
      <c r="C10" s="5">
        <v>216897</v>
      </c>
      <c r="D10" s="5">
        <v>238850</v>
      </c>
      <c r="E10" s="5">
        <v>259005</v>
      </c>
      <c r="F10" s="9">
        <v>294077</v>
      </c>
      <c r="G10" s="14" t="s">
        <v>64</v>
      </c>
      <c r="H10" s="7">
        <v>236793</v>
      </c>
      <c r="I10" s="7">
        <v>253852</v>
      </c>
      <c r="J10" s="7">
        <v>273483</v>
      </c>
      <c r="K10" s="7">
        <v>292320</v>
      </c>
      <c r="L10" s="18">
        <f>H10-C10</f>
        <v>19896</v>
      </c>
      <c r="M10" s="18">
        <f>I10-D10</f>
        <v>15002</v>
      </c>
      <c r="N10" s="18">
        <f>J10-E10</f>
        <v>14478</v>
      </c>
      <c r="O10" s="18">
        <f>K10-F10</f>
        <v>-1757</v>
      </c>
      <c r="P10" s="16">
        <f>(ABS(L10)/C10)*100</f>
        <v>9.1730176074357885</v>
      </c>
      <c r="Q10" s="16">
        <f>(ABS(M10)/D10)*100</f>
        <v>6.2809294536319866</v>
      </c>
      <c r="R10" s="16">
        <f>(ABS(N10)/E10)*100</f>
        <v>5.5898534777320901</v>
      </c>
      <c r="S10" s="16">
        <f>(ABS(O10)/F10)*100</f>
        <v>0.59746256932708108</v>
      </c>
    </row>
    <row r="11" spans="1:21" x14ac:dyDescent="0.3">
      <c r="A11" s="4" t="s">
        <v>14</v>
      </c>
      <c r="B11" s="4" t="s">
        <v>15</v>
      </c>
      <c r="C11" s="5">
        <v>434143</v>
      </c>
      <c r="D11" s="5">
        <v>503320</v>
      </c>
      <c r="E11" s="5">
        <v>553374</v>
      </c>
      <c r="F11" s="9">
        <v>604147</v>
      </c>
      <c r="G11" s="14" t="s">
        <v>64</v>
      </c>
      <c r="H11" s="7">
        <v>492147</v>
      </c>
      <c r="I11" s="7">
        <v>534932</v>
      </c>
      <c r="J11" s="7">
        <v>584312</v>
      </c>
      <c r="K11" s="7">
        <v>642038</v>
      </c>
      <c r="L11" s="18">
        <f>H11-C11</f>
        <v>58004</v>
      </c>
      <c r="M11" s="18">
        <f>I11-D11</f>
        <v>31612</v>
      </c>
      <c r="N11" s="18">
        <f>J11-E11</f>
        <v>30938</v>
      </c>
      <c r="O11" s="18">
        <f>K11-F11</f>
        <v>37891</v>
      </c>
      <c r="P11" s="16">
        <f>(ABS(L11)/C11)*100</f>
        <v>13.360574741502223</v>
      </c>
      <c r="Q11" s="16">
        <f>(ABS(M11)/D11)*100</f>
        <v>6.2806961773821817</v>
      </c>
      <c r="R11" s="16">
        <f>(ABS(N11)/E11)*100</f>
        <v>5.5907939296027642</v>
      </c>
      <c r="S11" s="16">
        <f>(ABS(O11)/F11)*100</f>
        <v>6.2718179515912524</v>
      </c>
    </row>
    <row r="12" spans="1:21" x14ac:dyDescent="0.3">
      <c r="A12" s="4" t="s">
        <v>16</v>
      </c>
      <c r="B12" s="4" t="s">
        <v>16</v>
      </c>
      <c r="C12" s="5">
        <v>671790</v>
      </c>
      <c r="D12" s="5">
        <v>758791</v>
      </c>
      <c r="E12" s="5">
        <v>819543</v>
      </c>
      <c r="F12" s="9">
        <v>937674</v>
      </c>
      <c r="G12" s="14" t="s">
        <v>64</v>
      </c>
      <c r="H12" s="7">
        <v>755274</v>
      </c>
      <c r="I12" s="7">
        <v>806463</v>
      </c>
      <c r="J12" s="7">
        <v>865366</v>
      </c>
      <c r="K12" s="7">
        <v>917612</v>
      </c>
      <c r="L12" s="18">
        <f>H12-C12</f>
        <v>83484</v>
      </c>
      <c r="M12" s="18">
        <f>I12-D12</f>
        <v>47672</v>
      </c>
      <c r="N12" s="18">
        <f>J12-E12</f>
        <v>45823</v>
      </c>
      <c r="O12" s="18">
        <f>K12-F12</f>
        <v>-20062</v>
      </c>
      <c r="P12" s="16">
        <f>(ABS(L12)/C12)*100</f>
        <v>12.427097753762336</v>
      </c>
      <c r="Q12" s="16">
        <f>(ABS(M12)/D12)*100</f>
        <v>6.2826259141186451</v>
      </c>
      <c r="R12" s="16">
        <f>(ABS(N12)/E12)*100</f>
        <v>5.5912868513305582</v>
      </c>
      <c r="S12" s="16">
        <f>(ABS(O12)/F12)*100</f>
        <v>2.1395495662671675</v>
      </c>
    </row>
    <row r="13" spans="1:21" x14ac:dyDescent="0.3">
      <c r="A13" s="4" t="s">
        <v>17</v>
      </c>
      <c r="B13" s="4" t="s">
        <v>18</v>
      </c>
      <c r="C13" s="5">
        <v>578046</v>
      </c>
      <c r="D13" s="5">
        <v>648929</v>
      </c>
      <c r="E13" s="5">
        <v>725123</v>
      </c>
      <c r="F13" s="9">
        <v>879958</v>
      </c>
      <c r="G13" s="14" t="s">
        <v>64</v>
      </c>
      <c r="H13" s="7">
        <v>624315</v>
      </c>
      <c r="I13" s="7">
        <v>689683</v>
      </c>
      <c r="J13" s="7">
        <v>765655</v>
      </c>
      <c r="K13" s="7">
        <v>869024</v>
      </c>
      <c r="L13" s="18">
        <f>H13-C13</f>
        <v>46269</v>
      </c>
      <c r="M13" s="18">
        <f>I13-D13</f>
        <v>40754</v>
      </c>
      <c r="N13" s="18">
        <f>J13-E13</f>
        <v>40532</v>
      </c>
      <c r="O13" s="18">
        <f>K13-F13</f>
        <v>-10934</v>
      </c>
      <c r="P13" s="16">
        <f>(ABS(L13)/C13)*100</f>
        <v>8.0043802742342312</v>
      </c>
      <c r="Q13" s="16">
        <f>(ABS(M13)/D13)*100</f>
        <v>6.2801939811597265</v>
      </c>
      <c r="R13" s="16">
        <f>(ABS(N13)/E13)*100</f>
        <v>5.5896723728250244</v>
      </c>
      <c r="S13" s="16">
        <f>(ABS(O13)/F13)*100</f>
        <v>1.2425593039667802</v>
      </c>
    </row>
    <row r="14" spans="1:21" x14ac:dyDescent="0.3">
      <c r="A14" s="4" t="s">
        <v>19</v>
      </c>
      <c r="B14" s="4" t="s">
        <v>19</v>
      </c>
      <c r="C14" s="5">
        <v>129958</v>
      </c>
      <c r="D14" s="5">
        <v>132273</v>
      </c>
      <c r="E14" s="5">
        <v>146904</v>
      </c>
      <c r="F14" s="9">
        <v>157048</v>
      </c>
      <c r="G14" s="14" t="s">
        <v>64</v>
      </c>
      <c r="H14" s="7">
        <v>128030</v>
      </c>
      <c r="I14" s="7">
        <v>140581</v>
      </c>
      <c r="J14" s="7">
        <v>155117</v>
      </c>
      <c r="K14" s="7">
        <v>173920</v>
      </c>
      <c r="L14" s="18">
        <f>H14-C14</f>
        <v>-1928</v>
      </c>
      <c r="M14" s="18">
        <f>I14-D14</f>
        <v>8308</v>
      </c>
      <c r="N14" s="18">
        <f>J14-E14</f>
        <v>8213</v>
      </c>
      <c r="O14" s="18">
        <f>K14-F14</f>
        <v>16872</v>
      </c>
      <c r="P14" s="16">
        <f>(ABS(L14)/C14)*100</f>
        <v>1.4835562258575847</v>
      </c>
      <c r="Q14" s="16">
        <f>(ABS(M14)/D14)*100</f>
        <v>6.2809492489018917</v>
      </c>
      <c r="R14" s="16">
        <f>(ABS(N14)/E14)*100</f>
        <v>5.5907259162446223</v>
      </c>
      <c r="S14" s="16">
        <f>(ABS(O14)/F14)*100</f>
        <v>10.743212266313485</v>
      </c>
    </row>
    <row r="15" spans="1:21" x14ac:dyDescent="0.3">
      <c r="A15" s="4" t="s">
        <v>20</v>
      </c>
      <c r="B15" s="4" t="s">
        <v>20</v>
      </c>
      <c r="C15" s="5">
        <v>491436</v>
      </c>
      <c r="D15" s="5">
        <v>526659</v>
      </c>
      <c r="E15" s="5">
        <v>582267</v>
      </c>
      <c r="F15" s="9">
        <v>688697</v>
      </c>
      <c r="G15" s="14" t="s">
        <v>64</v>
      </c>
      <c r="H15" s="7">
        <v>512124</v>
      </c>
      <c r="I15" s="7">
        <v>559737</v>
      </c>
      <c r="J15" s="7">
        <v>614817</v>
      </c>
      <c r="K15" s="7">
        <v>683111</v>
      </c>
      <c r="L15" s="18">
        <f>H15-C15</f>
        <v>20688</v>
      </c>
      <c r="M15" s="18">
        <f>I15-D15</f>
        <v>33078</v>
      </c>
      <c r="N15" s="18">
        <f>J15-E15</f>
        <v>32550</v>
      </c>
      <c r="O15" s="18">
        <f>K15-F15</f>
        <v>-5586</v>
      </c>
      <c r="P15" s="16">
        <f>(ABS(L15)/C15)*100</f>
        <v>4.2097038068029207</v>
      </c>
      <c r="Q15" s="16">
        <f>(ABS(M15)/D15)*100</f>
        <v>6.2807243396581089</v>
      </c>
      <c r="R15" s="16">
        <f>(ABS(N15)/E15)*100</f>
        <v>5.5902189201861008</v>
      </c>
      <c r="S15" s="16">
        <f>(ABS(O15)/F15)*100</f>
        <v>0.8110968974745062</v>
      </c>
    </row>
    <row r="16" spans="1:21" x14ac:dyDescent="0.3">
      <c r="A16" s="4" t="s">
        <v>52</v>
      </c>
      <c r="B16" s="4" t="s">
        <v>51</v>
      </c>
      <c r="C16" s="5">
        <v>666596</v>
      </c>
      <c r="D16" s="5">
        <v>747512</v>
      </c>
      <c r="E16" s="5">
        <v>819561</v>
      </c>
      <c r="F16" s="9">
        <v>910608</v>
      </c>
      <c r="G16" s="14" t="s">
        <v>64</v>
      </c>
      <c r="H16" s="7">
        <v>732963</v>
      </c>
      <c r="I16" s="7">
        <v>794455</v>
      </c>
      <c r="J16" s="7">
        <v>865383</v>
      </c>
      <c r="K16" s="7">
        <v>945576</v>
      </c>
      <c r="L16" s="18">
        <f>H16-C16</f>
        <v>66367</v>
      </c>
      <c r="M16" s="18">
        <f>I16-D16</f>
        <v>46943</v>
      </c>
      <c r="N16" s="18">
        <f>J16-E16</f>
        <v>45822</v>
      </c>
      <c r="O16" s="18">
        <f>K16-F16</f>
        <v>34968</v>
      </c>
      <c r="P16" s="16">
        <f>(ABS(L16)/C16)*100</f>
        <v>9.9561053471667993</v>
      </c>
      <c r="Q16" s="16">
        <f>(ABS(M16)/D16)*100</f>
        <v>6.2798991855649131</v>
      </c>
      <c r="R16" s="16">
        <f>(ABS(N16)/E16)*100</f>
        <v>5.5910420334788995</v>
      </c>
      <c r="S16" s="16">
        <f>(ABS(O16)/F16)*100</f>
        <v>3.8400716883664541</v>
      </c>
    </row>
    <row r="17" spans="1:19" x14ac:dyDescent="0.3">
      <c r="A17" s="4" t="s">
        <v>21</v>
      </c>
      <c r="B17" s="4" t="s">
        <v>21</v>
      </c>
      <c r="C17" s="5">
        <v>141196</v>
      </c>
      <c r="D17" s="5">
        <v>153364</v>
      </c>
      <c r="E17" s="5">
        <v>171709</v>
      </c>
      <c r="F17" s="9">
        <v>194500</v>
      </c>
      <c r="G17" s="14" t="s">
        <v>64</v>
      </c>
      <c r="H17" s="7">
        <v>147255</v>
      </c>
      <c r="I17" s="7">
        <v>162996</v>
      </c>
      <c r="J17" s="7">
        <v>181313</v>
      </c>
      <c r="K17" s="7">
        <v>206596</v>
      </c>
      <c r="L17" s="18">
        <f>H17-C17</f>
        <v>6059</v>
      </c>
      <c r="M17" s="18">
        <f>I17-D17</f>
        <v>9632</v>
      </c>
      <c r="N17" s="18">
        <f>J17-E17</f>
        <v>9604</v>
      </c>
      <c r="O17" s="18">
        <f>K17-F17</f>
        <v>12096</v>
      </c>
      <c r="P17" s="16">
        <f>(ABS(L17)/C17)*100</f>
        <v>4.2911980509362877</v>
      </c>
      <c r="Q17" s="16">
        <f>(ABS(M17)/D17)*100</f>
        <v>6.2804830338280171</v>
      </c>
      <c r="R17" s="16">
        <f>(ABS(N17)/E17)*100</f>
        <v>5.5931838168063406</v>
      </c>
      <c r="S17" s="16">
        <f>(ABS(O17)/F17)*100</f>
        <v>6.2190231362467863</v>
      </c>
    </row>
    <row r="18" spans="1:19" x14ac:dyDescent="0.3">
      <c r="A18" s="4" t="s">
        <v>22</v>
      </c>
      <c r="B18" s="4" t="s">
        <v>23</v>
      </c>
      <c r="C18" s="5">
        <v>192947</v>
      </c>
      <c r="D18" s="5">
        <v>214219</v>
      </c>
      <c r="E18" s="5">
        <v>241717</v>
      </c>
      <c r="F18" s="9">
        <v>283354</v>
      </c>
      <c r="G18" s="14" t="s">
        <v>64</v>
      </c>
      <c r="H18" s="7">
        <v>204091</v>
      </c>
      <c r="I18" s="7">
        <v>227662</v>
      </c>
      <c r="J18" s="7">
        <v>255228</v>
      </c>
      <c r="K18" s="7">
        <v>295395</v>
      </c>
      <c r="L18" s="18">
        <f>H18-C18</f>
        <v>11144</v>
      </c>
      <c r="M18" s="18">
        <f>I18-D18</f>
        <v>13443</v>
      </c>
      <c r="N18" s="18">
        <f>J18-E18</f>
        <v>13511</v>
      </c>
      <c r="O18" s="18">
        <f>K18-F18</f>
        <v>12041</v>
      </c>
      <c r="P18" s="16">
        <f>(ABS(L18)/C18)*100</f>
        <v>5.7756793316299291</v>
      </c>
      <c r="Q18" s="16">
        <f>(ABS(M18)/D18)*100</f>
        <v>6.2753537267936093</v>
      </c>
      <c r="R18" s="16">
        <f>(ABS(N18)/E18)*100</f>
        <v>5.589594443088405</v>
      </c>
      <c r="S18" s="16">
        <f>(ABS(O18)/F18)*100</f>
        <v>4.2494547456538463</v>
      </c>
    </row>
    <row r="19" spans="1:19" x14ac:dyDescent="0.3">
      <c r="A19" s="4" t="s">
        <v>24</v>
      </c>
      <c r="B19" s="4" t="s">
        <v>25</v>
      </c>
      <c r="C19" s="5">
        <v>245208</v>
      </c>
      <c r="D19" s="5">
        <v>275578</v>
      </c>
      <c r="E19" s="5">
        <v>267862</v>
      </c>
      <c r="F19" s="9">
        <v>314331</v>
      </c>
      <c r="G19" s="14" t="s">
        <v>64</v>
      </c>
      <c r="H19" s="7">
        <v>304789</v>
      </c>
      <c r="I19" s="7">
        <v>292880</v>
      </c>
      <c r="J19" s="7">
        <v>282834</v>
      </c>
      <c r="K19" s="7">
        <v>242901</v>
      </c>
      <c r="L19" s="18">
        <f>H19-C19</f>
        <v>59581</v>
      </c>
      <c r="M19" s="18">
        <f>I19-D19</f>
        <v>17302</v>
      </c>
      <c r="N19" s="18">
        <f>J19-E19</f>
        <v>14972</v>
      </c>
      <c r="O19" s="18">
        <f>K19-F19</f>
        <v>-71430</v>
      </c>
      <c r="P19" s="16">
        <f>(ABS(L19)/C19)*100</f>
        <v>24.298146879384035</v>
      </c>
      <c r="Q19" s="16">
        <f>(ABS(M19)/D19)*100</f>
        <v>6.2784402238204793</v>
      </c>
      <c r="R19" s="16">
        <f>(ABS(N19)/E19)*100</f>
        <v>5.5894453113916862</v>
      </c>
      <c r="S19" s="16">
        <f>(ABS(O19)/F19)*100</f>
        <v>22.724452885652386</v>
      </c>
    </row>
    <row r="20" spans="1:19" x14ac:dyDescent="0.3">
      <c r="A20" s="4" t="s">
        <v>26</v>
      </c>
      <c r="B20" s="4" t="s">
        <v>27</v>
      </c>
      <c r="C20" s="5">
        <v>620532</v>
      </c>
      <c r="D20" s="5">
        <v>684145</v>
      </c>
      <c r="E20" s="5">
        <v>729279</v>
      </c>
      <c r="F20" s="9">
        <v>849053</v>
      </c>
      <c r="G20" s="14" t="s">
        <v>64</v>
      </c>
      <c r="H20" s="7">
        <v>689960</v>
      </c>
      <c r="I20" s="7">
        <v>727108</v>
      </c>
      <c r="J20" s="7">
        <v>770046</v>
      </c>
      <c r="K20" s="7">
        <v>795377</v>
      </c>
      <c r="L20" s="18">
        <f>H20-C20</f>
        <v>69428</v>
      </c>
      <c r="M20" s="18">
        <f>I20-D20</f>
        <v>42963</v>
      </c>
      <c r="N20" s="18">
        <f>J20-E20</f>
        <v>40767</v>
      </c>
      <c r="O20" s="18">
        <f>K20-F20</f>
        <v>-53676</v>
      </c>
      <c r="P20" s="16">
        <f>(ABS(L20)/C20)*100</f>
        <v>11.188464092101617</v>
      </c>
      <c r="Q20" s="16">
        <f>(ABS(M20)/D20)*100</f>
        <v>6.2798091047950368</v>
      </c>
      <c r="R20" s="16">
        <f>(ABS(N20)/E20)*100</f>
        <v>5.5900416712945251</v>
      </c>
      <c r="S20" s="16">
        <f>(ABS(O20)/F20)*100</f>
        <v>6.3218668328125576</v>
      </c>
    </row>
    <row r="21" spans="1:19" x14ac:dyDescent="0.3">
      <c r="A21" s="4" t="s">
        <v>53</v>
      </c>
      <c r="B21" s="4" t="s">
        <v>54</v>
      </c>
      <c r="C21" s="5">
        <v>338706</v>
      </c>
      <c r="D21" s="5">
        <v>349102</v>
      </c>
      <c r="E21" s="5">
        <v>365168</v>
      </c>
      <c r="F21" s="9">
        <v>378476</v>
      </c>
      <c r="G21" s="14" t="s">
        <v>64</v>
      </c>
      <c r="H21" s="7">
        <v>358790</v>
      </c>
      <c r="I21" s="7">
        <v>371025</v>
      </c>
      <c r="J21" s="7">
        <v>385582</v>
      </c>
      <c r="K21" s="7">
        <v>383499</v>
      </c>
      <c r="L21" s="18">
        <f>H21-C21</f>
        <v>20084</v>
      </c>
      <c r="M21" s="18">
        <f>I21-D21</f>
        <v>21923</v>
      </c>
      <c r="N21" s="18">
        <f>J21-E21</f>
        <v>20414</v>
      </c>
      <c r="O21" s="18">
        <f>K21-F21</f>
        <v>5023</v>
      </c>
      <c r="P21" s="16">
        <f>(ABS(L21)/C21)*100</f>
        <v>5.9296262835615554</v>
      </c>
      <c r="Q21" s="16">
        <f>(ABS(M21)/D21)*100</f>
        <v>6.2798265263447357</v>
      </c>
      <c r="R21" s="16">
        <f>(ABS(N21)/E21)*100</f>
        <v>5.5903036410638398</v>
      </c>
      <c r="S21" s="16">
        <f>(ABS(O21)/F21)*100</f>
        <v>1.3271647343556792</v>
      </c>
    </row>
    <row r="22" spans="1:19" x14ac:dyDescent="0.3">
      <c r="A22" s="4" t="s">
        <v>28</v>
      </c>
      <c r="B22" s="4" t="s">
        <v>29</v>
      </c>
      <c r="C22" s="5">
        <v>1110997</v>
      </c>
      <c r="D22" s="5">
        <v>1133814</v>
      </c>
      <c r="E22" s="5">
        <v>1135550</v>
      </c>
      <c r="F22" s="9">
        <v>1142994</v>
      </c>
      <c r="G22" s="14" t="s">
        <v>64</v>
      </c>
      <c r="H22" s="7">
        <v>1217028</v>
      </c>
      <c r="I22" s="7">
        <v>1205004</v>
      </c>
      <c r="J22" s="7">
        <v>1199034</v>
      </c>
      <c r="K22" s="7">
        <v>1093265</v>
      </c>
      <c r="L22" s="18">
        <f>H22-C22</f>
        <v>106031</v>
      </c>
      <c r="M22" s="18">
        <f>I22-D22</f>
        <v>71190</v>
      </c>
      <c r="N22" s="18">
        <f>J22-E22</f>
        <v>63484</v>
      </c>
      <c r="O22" s="18">
        <f>K22-F22</f>
        <v>-49729</v>
      </c>
      <c r="P22" s="16">
        <f>(ABS(L22)/C22)*100</f>
        <v>9.5437701451939105</v>
      </c>
      <c r="Q22" s="16">
        <f>(ABS(M22)/D22)*100</f>
        <v>6.2788076351147541</v>
      </c>
      <c r="R22" s="16">
        <f>(ABS(N22)/E22)*100</f>
        <v>5.5905948659240012</v>
      </c>
      <c r="S22" s="16">
        <f>(ABS(O22)/F22)*100</f>
        <v>4.3507664957121381</v>
      </c>
    </row>
    <row r="23" spans="1:19" x14ac:dyDescent="0.3">
      <c r="A23" s="4" t="s">
        <v>30</v>
      </c>
      <c r="B23" s="4" t="s">
        <v>31</v>
      </c>
      <c r="C23" s="5">
        <v>256130</v>
      </c>
      <c r="D23" s="5">
        <v>265006</v>
      </c>
      <c r="E23" s="5">
        <v>263357</v>
      </c>
      <c r="F23" s="9">
        <v>270955</v>
      </c>
      <c r="G23" s="14" t="s">
        <v>64</v>
      </c>
      <c r="H23" s="7">
        <v>286679</v>
      </c>
      <c r="I23" s="7">
        <v>281645</v>
      </c>
      <c r="J23" s="7">
        <v>278084</v>
      </c>
      <c r="K23" s="7">
        <v>249640</v>
      </c>
      <c r="L23" s="18">
        <f>H23-C23</f>
        <v>30549</v>
      </c>
      <c r="M23" s="18">
        <f>I23-D23</f>
        <v>16639</v>
      </c>
      <c r="N23" s="18">
        <f>J23-E23</f>
        <v>14727</v>
      </c>
      <c r="O23" s="18">
        <f>K23-F23</f>
        <v>-21315</v>
      </c>
      <c r="P23" s="16">
        <f>(ABS(L23)/C23)*100</f>
        <v>11.927146370983484</v>
      </c>
      <c r="Q23" s="16">
        <f>(ABS(M23)/D23)*100</f>
        <v>6.2787257646996677</v>
      </c>
      <c r="R23" s="16">
        <f>(ABS(N23)/E23)*100</f>
        <v>5.5920290708050286</v>
      </c>
      <c r="S23" s="16">
        <f>(ABS(O23)/F23)*100</f>
        <v>7.8666199184366405</v>
      </c>
    </row>
    <row r="24" spans="1:19" x14ac:dyDescent="0.3">
      <c r="A24" s="4" t="s">
        <v>32</v>
      </c>
      <c r="B24" s="4" t="s">
        <v>33</v>
      </c>
      <c r="C24" s="5">
        <v>1346916</v>
      </c>
      <c r="D24" s="5">
        <v>1485941</v>
      </c>
      <c r="E24" s="5">
        <v>1539819</v>
      </c>
      <c r="F24" s="9">
        <v>1692181</v>
      </c>
      <c r="G24" s="14" t="s">
        <v>64</v>
      </c>
      <c r="H24" s="7">
        <v>1541539</v>
      </c>
      <c r="I24" s="7">
        <v>1579258</v>
      </c>
      <c r="J24" s="7">
        <v>1625900</v>
      </c>
      <c r="K24" s="7">
        <v>1587069</v>
      </c>
      <c r="L24" s="18">
        <f>H24-C24</f>
        <v>194623</v>
      </c>
      <c r="M24" s="18">
        <f>I24-D24</f>
        <v>93317</v>
      </c>
      <c r="N24" s="18">
        <f>J24-E24</f>
        <v>86081</v>
      </c>
      <c r="O24" s="18">
        <f>K24-F24</f>
        <v>-105112</v>
      </c>
      <c r="P24" s="16">
        <f>(ABS(L24)/C24)*100</f>
        <v>14.44952766171016</v>
      </c>
      <c r="Q24" s="16">
        <f>(ABS(M24)/D24)*100</f>
        <v>6.2799936202043023</v>
      </c>
      <c r="R24" s="16">
        <f>(ABS(N24)/E24)*100</f>
        <v>5.5903323702331242</v>
      </c>
      <c r="S24" s="16">
        <f>(ABS(O24)/F24)*100</f>
        <v>6.2116286614729743</v>
      </c>
    </row>
    <row r="25" spans="1:19" x14ac:dyDescent="0.3">
      <c r="A25" s="4" t="s">
        <v>34</v>
      </c>
      <c r="B25" s="4" t="s">
        <v>35</v>
      </c>
      <c r="C25" s="5">
        <v>641386</v>
      </c>
      <c r="D25" s="5">
        <v>734139</v>
      </c>
      <c r="E25" s="5">
        <v>801940</v>
      </c>
      <c r="F25" s="9">
        <v>1049777</v>
      </c>
      <c r="G25" s="14" t="s">
        <v>64</v>
      </c>
      <c r="H25" s="7">
        <v>722495</v>
      </c>
      <c r="I25" s="7">
        <v>780238</v>
      </c>
      <c r="J25" s="7">
        <v>846780</v>
      </c>
      <c r="K25" s="7">
        <v>918468</v>
      </c>
      <c r="L25" s="18">
        <f>H25-C25</f>
        <v>81109</v>
      </c>
      <c r="M25" s="18">
        <f>I25-D25</f>
        <v>46099</v>
      </c>
      <c r="N25" s="18">
        <f>J25-E25</f>
        <v>44840</v>
      </c>
      <c r="O25" s="18">
        <f>K25-F25</f>
        <v>-131309</v>
      </c>
      <c r="P25" s="16">
        <f>(ABS(L25)/C25)*100</f>
        <v>12.645894983675976</v>
      </c>
      <c r="Q25" s="16">
        <f>(ABS(M25)/D25)*100</f>
        <v>6.2793285740166374</v>
      </c>
      <c r="R25" s="16">
        <f>(ABS(N25)/E25)*100</f>
        <v>5.5914407561662962</v>
      </c>
      <c r="S25" s="16">
        <f>(ABS(O25)/F25)*100</f>
        <v>12.50827556709663</v>
      </c>
    </row>
    <row r="26" spans="1:19" x14ac:dyDescent="0.3">
      <c r="A26" s="4" t="s">
        <v>55</v>
      </c>
      <c r="B26" s="4" t="s">
        <v>36</v>
      </c>
      <c r="C26" s="5">
        <v>60091</v>
      </c>
      <c r="D26" s="5">
        <v>73193</v>
      </c>
      <c r="E26" s="5">
        <v>79535</v>
      </c>
      <c r="F26" s="9">
        <v>88626</v>
      </c>
      <c r="G26" s="14" t="s">
        <v>64</v>
      </c>
      <c r="H26" s="7">
        <v>72412</v>
      </c>
      <c r="I26" s="7">
        <v>77791</v>
      </c>
      <c r="J26" s="7">
        <v>83980</v>
      </c>
      <c r="K26" s="7">
        <v>90141</v>
      </c>
      <c r="L26" s="18">
        <f>H26-C26</f>
        <v>12321</v>
      </c>
      <c r="M26" s="18">
        <f>I26-D26</f>
        <v>4598</v>
      </c>
      <c r="N26" s="18">
        <f>J26-E26</f>
        <v>4445</v>
      </c>
      <c r="O26" s="18">
        <f>K26-F26</f>
        <v>1515</v>
      </c>
      <c r="P26" s="16">
        <f>(ABS(L26)/C26)*100</f>
        <v>20.503902414671082</v>
      </c>
      <c r="Q26" s="16">
        <f>(ABS(M26)/D26)*100</f>
        <v>6.2820215047887098</v>
      </c>
      <c r="R26" s="16">
        <f>(ABS(N26)/E26)*100</f>
        <v>5.5887345193939773</v>
      </c>
      <c r="S26" s="16">
        <f>(ABS(O26)/F26)*100</f>
        <v>1.7094306411211155</v>
      </c>
    </row>
    <row r="27" spans="1:19" x14ac:dyDescent="0.3">
      <c r="A27" s="4" t="s">
        <v>37</v>
      </c>
      <c r="B27" s="4" t="s">
        <v>37</v>
      </c>
      <c r="C27" s="5">
        <v>670532</v>
      </c>
      <c r="D27" s="5">
        <v>730950</v>
      </c>
      <c r="E27" s="5">
        <v>772604</v>
      </c>
      <c r="F27" s="9">
        <v>911908</v>
      </c>
      <c r="G27" s="14" t="s">
        <v>64</v>
      </c>
      <c r="H27" s="7">
        <v>743429</v>
      </c>
      <c r="I27" s="7">
        <v>776850</v>
      </c>
      <c r="J27" s="7">
        <v>815781</v>
      </c>
      <c r="K27" s="7">
        <v>828492</v>
      </c>
      <c r="L27" s="18">
        <f>H27-C27</f>
        <v>72897</v>
      </c>
      <c r="M27" s="18">
        <f>I27-D27</f>
        <v>45900</v>
      </c>
      <c r="N27" s="18">
        <f>J27-E27</f>
        <v>43177</v>
      </c>
      <c r="O27" s="18">
        <f>K27-F27</f>
        <v>-83416</v>
      </c>
      <c r="P27" s="16">
        <f>(ABS(L27)/C27)*100</f>
        <v>10.871516944754314</v>
      </c>
      <c r="Q27" s="16">
        <f>(ABS(M27)/D27)*100</f>
        <v>6.2794992817566175</v>
      </c>
      <c r="R27" s="16">
        <f>(ABS(N27)/E27)*100</f>
        <v>5.5885032953492351</v>
      </c>
      <c r="S27" s="16">
        <f>(ABS(O27)/F27)*100</f>
        <v>9.1474139935168903</v>
      </c>
    </row>
    <row r="28" spans="1:19" x14ac:dyDescent="0.3">
      <c r="A28" s="4" t="s">
        <v>38</v>
      </c>
      <c r="B28" s="4" t="s">
        <v>39</v>
      </c>
      <c r="C28" s="5">
        <v>745537</v>
      </c>
      <c r="D28" s="5">
        <v>793730</v>
      </c>
      <c r="E28" s="5">
        <v>858638</v>
      </c>
      <c r="F28" s="9">
        <v>1003530</v>
      </c>
      <c r="G28" s="14" t="s">
        <v>64</v>
      </c>
      <c r="H28" s="7">
        <v>788787</v>
      </c>
      <c r="I28" s="7">
        <v>843588</v>
      </c>
      <c r="J28" s="7">
        <v>906649</v>
      </c>
      <c r="K28" s="7">
        <v>964442</v>
      </c>
      <c r="L28" s="18">
        <f>H28-C28</f>
        <v>43250</v>
      </c>
      <c r="M28" s="18">
        <f>I28-D28</f>
        <v>49858</v>
      </c>
      <c r="N28" s="18">
        <f>J28-E28</f>
        <v>48011</v>
      </c>
      <c r="O28" s="18">
        <f>K28-F28</f>
        <v>-39088</v>
      </c>
      <c r="P28" s="16">
        <f>(ABS(L28)/C28)*100</f>
        <v>5.8011876003471325</v>
      </c>
      <c r="Q28" s="16">
        <f>(ABS(M28)/D28)*100</f>
        <v>6.2814811081854032</v>
      </c>
      <c r="R28" s="16">
        <f>(ABS(N28)/E28)*100</f>
        <v>5.5915298414465697</v>
      </c>
      <c r="S28" s="16">
        <f>(ABS(O28)/F28)*100</f>
        <v>3.8950504718344243</v>
      </c>
    </row>
    <row r="29" spans="1:19" x14ac:dyDescent="0.3">
      <c r="A29" s="4" t="s">
        <v>40</v>
      </c>
      <c r="B29" s="4" t="s">
        <v>41</v>
      </c>
      <c r="C29" s="5">
        <v>609829</v>
      </c>
      <c r="D29" s="5">
        <v>701838</v>
      </c>
      <c r="E29" s="5">
        <v>784342</v>
      </c>
      <c r="F29" s="9">
        <v>936263</v>
      </c>
      <c r="G29" s="14" t="s">
        <v>64</v>
      </c>
      <c r="H29" s="7">
        <v>675145</v>
      </c>
      <c r="I29" s="7">
        <v>745939</v>
      </c>
      <c r="J29" s="7">
        <v>828188</v>
      </c>
      <c r="K29" s="7">
        <v>940221</v>
      </c>
      <c r="L29" s="18">
        <f>H29-C29</f>
        <v>65316</v>
      </c>
      <c r="M29" s="18">
        <f>I29-D29</f>
        <v>44101</v>
      </c>
      <c r="N29" s="18">
        <f>J29-E29</f>
        <v>43846</v>
      </c>
      <c r="O29" s="18">
        <f>K29-F29</f>
        <v>3958</v>
      </c>
      <c r="P29" s="16">
        <f>(ABS(L29)/C29)*100</f>
        <v>10.710543447425426</v>
      </c>
      <c r="Q29" s="16">
        <f>(ABS(M29)/D29)*100</f>
        <v>6.2836438038407731</v>
      </c>
      <c r="R29" s="16">
        <f>(ABS(N29)/E29)*100</f>
        <v>5.5901634746067401</v>
      </c>
      <c r="S29" s="16">
        <f>(ABS(O29)/F29)*100</f>
        <v>0.42274446389529441</v>
      </c>
    </row>
    <row r="30" spans="1:19" x14ac:dyDescent="0.3">
      <c r="A30" s="4" t="s">
        <v>56</v>
      </c>
      <c r="B30" s="4" t="s">
        <v>42</v>
      </c>
      <c r="C30" s="5">
        <v>32840</v>
      </c>
      <c r="D30" s="5">
        <v>33596</v>
      </c>
      <c r="E30" s="5">
        <v>36391</v>
      </c>
      <c r="F30" s="9">
        <v>37749</v>
      </c>
      <c r="G30" s="14" t="s">
        <v>64</v>
      </c>
      <c r="H30" s="7">
        <v>33342</v>
      </c>
      <c r="I30" s="7">
        <v>35705</v>
      </c>
      <c r="J30" s="7">
        <v>38425</v>
      </c>
      <c r="K30" s="7">
        <v>40984</v>
      </c>
      <c r="L30" s="18">
        <f>H30-C30</f>
        <v>502</v>
      </c>
      <c r="M30" s="18">
        <f>I30-D30</f>
        <v>2109</v>
      </c>
      <c r="N30" s="18">
        <f>J30-E30</f>
        <v>2034</v>
      </c>
      <c r="O30" s="18">
        <f>K30-F30</f>
        <v>3235</v>
      </c>
      <c r="P30" s="16">
        <f>(ABS(L30)/C30)*100</f>
        <v>1.5286236297198539</v>
      </c>
      <c r="Q30" s="16">
        <f>(ABS(M30)/D30)*100</f>
        <v>6.2775330396475777</v>
      </c>
      <c r="R30" s="16">
        <f>(ABS(N30)/E30)*100</f>
        <v>5.5892940562226929</v>
      </c>
      <c r="S30" s="16">
        <f>(ABS(O30)/F30)*100</f>
        <v>8.5697634374420524</v>
      </c>
    </row>
    <row r="31" spans="1:19" x14ac:dyDescent="0.3">
      <c r="A31" s="4" t="s">
        <v>57</v>
      </c>
      <c r="B31" s="4" t="s">
        <v>43</v>
      </c>
      <c r="C31" s="5">
        <v>418141</v>
      </c>
      <c r="D31" s="5">
        <v>462157</v>
      </c>
      <c r="E31" s="5">
        <v>489193</v>
      </c>
      <c r="F31" s="9">
        <v>541979</v>
      </c>
      <c r="G31" s="14" t="s">
        <v>64</v>
      </c>
      <c r="H31" s="7">
        <v>573536</v>
      </c>
      <c r="I31" s="7">
        <v>601716</v>
      </c>
      <c r="J31" s="7">
        <v>634436</v>
      </c>
      <c r="K31" s="7">
        <v>649601</v>
      </c>
      <c r="L31" s="18">
        <f>H31-C31</f>
        <v>155395</v>
      </c>
      <c r="M31" s="18">
        <f>I31-D31</f>
        <v>139559</v>
      </c>
      <c r="N31" s="18">
        <f>J31-E31</f>
        <v>145243</v>
      </c>
      <c r="O31" s="18">
        <f>K31-F31</f>
        <v>107622</v>
      </c>
      <c r="P31" s="16">
        <f>(ABS(L31)/C31)*100</f>
        <v>37.163301374416761</v>
      </c>
      <c r="Q31" s="16">
        <f>(ABS(M31)/D31)*100</f>
        <v>30.197313899821921</v>
      </c>
      <c r="R31" s="16">
        <f>(ABS(N31)/E31)*100</f>
        <v>29.690326721764208</v>
      </c>
      <c r="S31" s="16">
        <f>(ABS(O31)/F31)*100</f>
        <v>19.857226940527216</v>
      </c>
    </row>
    <row r="32" spans="1:19" x14ac:dyDescent="0.3">
      <c r="A32" s="4" t="s">
        <v>44</v>
      </c>
      <c r="B32" s="4" t="s">
        <v>45</v>
      </c>
      <c r="C32" s="5">
        <v>73230</v>
      </c>
      <c r="D32" s="5">
        <v>83748</v>
      </c>
      <c r="E32" s="5">
        <v>89795</v>
      </c>
      <c r="F32" s="9">
        <v>99896</v>
      </c>
      <c r="G32" s="14" t="s">
        <v>64</v>
      </c>
      <c r="H32" s="7">
        <v>83969</v>
      </c>
      <c r="I32" s="7">
        <v>89007</v>
      </c>
      <c r="J32" s="7">
        <v>94816</v>
      </c>
      <c r="K32" s="7">
        <v>99082</v>
      </c>
      <c r="L32" s="18">
        <f>H32-C32</f>
        <v>10739</v>
      </c>
      <c r="M32" s="18">
        <f>I32-D32</f>
        <v>5259</v>
      </c>
      <c r="N32" s="18">
        <f>J32-E32</f>
        <v>5021</v>
      </c>
      <c r="O32" s="18">
        <f>K32-F32</f>
        <v>-814</v>
      </c>
      <c r="P32" s="16">
        <f>(ABS(L32)/C32)*100</f>
        <v>14.664754881879011</v>
      </c>
      <c r="Q32" s="16">
        <f>(ABS(M32)/D32)*100</f>
        <v>6.2795529445479294</v>
      </c>
      <c r="R32" s="16">
        <f>(ABS(N32)/E32)*100</f>
        <v>5.5916253688958184</v>
      </c>
      <c r="S32" s="16">
        <f>(ABS(O32)/F32)*100</f>
        <v>0.81484744133899256</v>
      </c>
    </row>
    <row r="33" spans="1:19" x14ac:dyDescent="0.3">
      <c r="A33" s="4" t="s">
        <v>46</v>
      </c>
      <c r="B33" s="4" t="s">
        <v>47</v>
      </c>
      <c r="C33" s="5">
        <v>390590</v>
      </c>
      <c r="D33" s="5">
        <v>413136</v>
      </c>
      <c r="E33" s="5">
        <v>457928</v>
      </c>
      <c r="F33" s="9">
        <v>488531</v>
      </c>
      <c r="G33" s="14" t="s">
        <v>64</v>
      </c>
      <c r="H33" s="7">
        <v>400693</v>
      </c>
      <c r="I33" s="7">
        <v>439074</v>
      </c>
      <c r="J33" s="7">
        <v>483536</v>
      </c>
      <c r="K33" s="7">
        <v>540005</v>
      </c>
      <c r="L33" s="18">
        <f>H33-C33</f>
        <v>10103</v>
      </c>
      <c r="M33" s="18">
        <f>I33-D33</f>
        <v>25938</v>
      </c>
      <c r="N33" s="18">
        <f>J33-E33</f>
        <v>25608</v>
      </c>
      <c r="O33" s="18">
        <f>K33-F33</f>
        <v>51474</v>
      </c>
      <c r="P33" s="16">
        <f>(ABS(L33)/C33)*100</f>
        <v>2.5865997593384367</v>
      </c>
      <c r="Q33" s="16">
        <f>(ABS(M33)/D33)*100</f>
        <v>6.2783199721157201</v>
      </c>
      <c r="R33" s="16">
        <f>(ABS(N33)/E33)*100</f>
        <v>5.5921454901207177</v>
      </c>
      <c r="S33" s="16">
        <f>(ABS(O33)/F33)*100</f>
        <v>10.536485913892875</v>
      </c>
    </row>
    <row r="34" spans="1:19" x14ac:dyDescent="0.3">
      <c r="A34" s="4" t="s">
        <v>48</v>
      </c>
      <c r="B34" s="4" t="s">
        <v>49</v>
      </c>
      <c r="C34" s="5">
        <v>705055</v>
      </c>
      <c r="D34" s="5">
        <v>781146</v>
      </c>
      <c r="E34" s="5">
        <v>830732</v>
      </c>
      <c r="F34" s="9">
        <v>995129</v>
      </c>
      <c r="G34" s="14" t="s">
        <v>64</v>
      </c>
      <c r="H34" s="7">
        <v>789635</v>
      </c>
      <c r="I34" s="7">
        <v>830197</v>
      </c>
      <c r="J34" s="7">
        <v>877175</v>
      </c>
      <c r="K34" s="7">
        <v>901809</v>
      </c>
      <c r="L34" s="18">
        <f>H34-C34</f>
        <v>84580</v>
      </c>
      <c r="M34" s="18">
        <f>I34-D34</f>
        <v>49051</v>
      </c>
      <c r="N34" s="18">
        <f>J34-E34</f>
        <v>46443</v>
      </c>
      <c r="O34" s="18">
        <f>K34-F34</f>
        <v>-93320</v>
      </c>
      <c r="P34" s="16">
        <f>(ABS(L34)/C34)*100</f>
        <v>11.996227244683039</v>
      </c>
      <c r="Q34" s="16">
        <f>(ABS(M34)/D34)*100</f>
        <v>6.279363908923556</v>
      </c>
      <c r="R34" s="16">
        <f>(ABS(N34)/E34)*100</f>
        <v>5.5906116533370565</v>
      </c>
      <c r="S34" s="16">
        <f>(ABS(O34)/F34)*100</f>
        <v>9.3776786728152839</v>
      </c>
    </row>
    <row r="35" spans="1:19" x14ac:dyDescent="0.3">
      <c r="A35" s="10" t="s">
        <v>50</v>
      </c>
      <c r="B35" s="10" t="s">
        <v>50</v>
      </c>
      <c r="C35" s="11">
        <v>123899</v>
      </c>
      <c r="D35" s="11">
        <v>132035</v>
      </c>
      <c r="E35" s="11">
        <v>138176</v>
      </c>
      <c r="F35" s="12">
        <v>149607</v>
      </c>
      <c r="G35" s="14" t="s">
        <v>64</v>
      </c>
      <c r="H35" s="13">
        <v>135638</v>
      </c>
      <c r="I35" s="13">
        <v>140324</v>
      </c>
      <c r="J35" s="13">
        <v>145890</v>
      </c>
      <c r="K35" s="13">
        <v>145246</v>
      </c>
      <c r="L35" s="18">
        <f>H35-C35</f>
        <v>11739</v>
      </c>
      <c r="M35" s="18">
        <f>I35-D35</f>
        <v>8289</v>
      </c>
      <c r="N35" s="18">
        <f>J35-E35</f>
        <v>7714</v>
      </c>
      <c r="O35" s="18">
        <f>K35-F35</f>
        <v>-4361</v>
      </c>
      <c r="P35" s="16">
        <f>(ABS(L35)/C35)*100</f>
        <v>9.4746527413457731</v>
      </c>
      <c r="Q35" s="16">
        <f>(ABS(M35)/D35)*100</f>
        <v>6.2778808649221789</v>
      </c>
      <c r="R35" s="16">
        <f>(ABS(N35)/E35)*100</f>
        <v>5.5827350625289487</v>
      </c>
      <c r="S35" s="16">
        <f>(ABS(O35)/F35)*100</f>
        <v>2.9149705561905526</v>
      </c>
    </row>
    <row r="36" spans="1:19" x14ac:dyDescent="0.3">
      <c r="B36" s="21" t="s">
        <v>62</v>
      </c>
      <c r="C36" s="23">
        <f>SUM(C5:C35)</f>
        <v>15469051</v>
      </c>
      <c r="D36" s="23">
        <f>SUM(D5:D35)</f>
        <v>16793115</v>
      </c>
      <c r="E36" s="23">
        <f>SUM(E5:E35)</f>
        <v>17820657</v>
      </c>
      <c r="F36" s="23">
        <f>SUM(F5:F35)</f>
        <v>20003624</v>
      </c>
      <c r="G36" s="23"/>
      <c r="O36" s="17" t="s">
        <v>60</v>
      </c>
      <c r="P36" s="19">
        <f>AVERAGE(P5:P35)</f>
        <v>10.478193190399608</v>
      </c>
      <c r="Q36" s="19">
        <f>AVERAGE(Q5:Q35)</f>
        <v>7.0512800563846074</v>
      </c>
      <c r="R36" s="19">
        <f>AVERAGE(R5:R35)</f>
        <v>6.367639909883315</v>
      </c>
      <c r="S36" s="19">
        <f>AVERAGE(S5:S35)</f>
        <v>6.3642404315335792</v>
      </c>
    </row>
    <row r="37" spans="1:19" x14ac:dyDescent="0.3">
      <c r="B37" s="20" t="s">
        <v>63</v>
      </c>
      <c r="C37" s="15">
        <f>C36*(P36/100)</f>
        <v>1620877.0485014424</v>
      </c>
      <c r="D37" s="15">
        <f>D36*(Q36/100)</f>
        <v>1184129.5688407319</v>
      </c>
      <c r="E37" s="15">
        <f>E36*(R36/100)</f>
        <v>1134755.2673354147</v>
      </c>
      <c r="F37" s="15">
        <f>F36*(S36/100)</f>
        <v>1273078.7263799547</v>
      </c>
      <c r="G37" s="15"/>
      <c r="O37" s="22" t="s">
        <v>61</v>
      </c>
      <c r="P37" s="24">
        <f>AVERAGE(P36:S36)</f>
        <v>7.5653383970502777</v>
      </c>
    </row>
  </sheetData>
  <mergeCells count="6">
    <mergeCell ref="P3:S3"/>
    <mergeCell ref="C3:F3"/>
    <mergeCell ref="H3:K3"/>
    <mergeCell ref="A3:A4"/>
    <mergeCell ref="B3:B4"/>
    <mergeCell ref="L3:O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ateScatterPlotMunic">
                <anchor moveWithCells="1" sizeWithCells="1">
                  <from>
                    <xdr:col>1</xdr:col>
                    <xdr:colOff>830580</xdr:colOff>
                    <xdr:row>39</xdr:row>
                    <xdr:rowOff>7620</xdr:rowOff>
                  </from>
                  <to>
                    <xdr:col>3</xdr:col>
                    <xdr:colOff>205740</xdr:colOff>
                    <xdr:row>43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ScatterPlotYear">
                <anchor moveWithCells="1" sizeWithCells="1">
                  <from>
                    <xdr:col>3</xdr:col>
                    <xdr:colOff>784860</xdr:colOff>
                    <xdr:row>39</xdr:row>
                    <xdr:rowOff>0</xdr:rowOff>
                  </from>
                  <to>
                    <xdr:col>6</xdr:col>
                    <xdr:colOff>792480</xdr:colOff>
                    <xdr:row>43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9</vt:i4>
      </vt:variant>
    </vt:vector>
  </HeadingPairs>
  <TitlesOfParts>
    <vt:vector size="10" baseType="lpstr">
      <vt:lpstr>Sheet1</vt:lpstr>
      <vt:lpstr>Chart20</vt:lpstr>
      <vt:lpstr>Chart21</vt:lpstr>
      <vt:lpstr>Chart1</vt:lpstr>
      <vt:lpstr>Chart2</vt:lpstr>
      <vt:lpstr>Chart3</vt:lpstr>
      <vt:lpstr>Gráfico1</vt:lpstr>
      <vt:lpstr>Gráfico2</vt:lpstr>
      <vt:lpstr>Gráfico3</vt:lpstr>
      <vt:lpstr>Gráfico4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Jorge Canenguez</cp:lastModifiedBy>
  <dcterms:created xsi:type="dcterms:W3CDTF">2021-07-05T21:36:15Z</dcterms:created>
  <dcterms:modified xsi:type="dcterms:W3CDTF">2021-08-24T12:07:35Z</dcterms:modified>
</cp:coreProperties>
</file>